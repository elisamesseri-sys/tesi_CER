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sse\Desktop\Tesi\"/>
    </mc:Choice>
  </mc:AlternateContent>
  <xr:revisionPtr revIDLastSave="0" documentId="8_{23719DAA-1A45-498F-BFF2-B306E0FF3A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zione_FV" sheetId="2" r:id="rId1"/>
    <sheet name="Prezzi_GME" sheetId="3" r:id="rId2"/>
    <sheet name="Parametri_BESS" sheetId="4" r:id="rId3"/>
    <sheet name="Domanda_ARERA" sheetId="5" r:id="rId4"/>
    <sheet name="Fattori_ku" sheetId="6" r:id="rId5"/>
    <sheet name="Domanda_base" sheetId="7" r:id="rId6"/>
    <sheet name="Domanda_5P15C" sheetId="8" r:id="rId7"/>
    <sheet name="Riepilogo_scenari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8" l="1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W27" i="8" s="1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W26" i="8" s="1"/>
  <c r="F26" i="8"/>
  <c r="E26" i="8"/>
  <c r="D26" i="8"/>
  <c r="C26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W25" i="8" s="1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W24" i="8" s="1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W23" i="8" s="1"/>
  <c r="F23" i="8"/>
  <c r="E23" i="8"/>
  <c r="D23" i="8"/>
  <c r="C23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W22" i="8" s="1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W21" i="8" s="1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W20" i="8" s="1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W19" i="8" s="1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W18" i="8" s="1"/>
  <c r="F18" i="8"/>
  <c r="E18" i="8"/>
  <c r="D18" i="8"/>
  <c r="C18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W17" i="8" s="1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W16" i="8" s="1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W15" i="8" s="1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W14" i="8" s="1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W13" i="8" s="1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W12" i="8" s="1"/>
  <c r="E12" i="8"/>
  <c r="D12" i="8"/>
  <c r="C12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W11" i="8" s="1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W10" i="8" s="1"/>
  <c r="F10" i="8"/>
  <c r="E10" i="8"/>
  <c r="D10" i="8"/>
  <c r="C10" i="8"/>
  <c r="V9" i="8"/>
  <c r="U9" i="8"/>
  <c r="U29" i="8" s="1"/>
  <c r="T9" i="8"/>
  <c r="S9" i="8"/>
  <c r="R9" i="8"/>
  <c r="Q9" i="8"/>
  <c r="P9" i="8"/>
  <c r="O9" i="8"/>
  <c r="N9" i="8"/>
  <c r="M9" i="8"/>
  <c r="M29" i="8" s="1"/>
  <c r="L9" i="8"/>
  <c r="K9" i="8"/>
  <c r="J9" i="8"/>
  <c r="I9" i="8"/>
  <c r="H9" i="8"/>
  <c r="G9" i="8"/>
  <c r="F9" i="8"/>
  <c r="E9" i="8"/>
  <c r="E29" i="8" s="1"/>
  <c r="D9" i="8"/>
  <c r="C9" i="8"/>
  <c r="W9" i="8" s="1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C8" i="8"/>
  <c r="W8" i="8" s="1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T29" i="8" s="1"/>
  <c r="S6" i="8"/>
  <c r="R6" i="8"/>
  <c r="Q6" i="8"/>
  <c r="P6" i="8"/>
  <c r="O6" i="8"/>
  <c r="N6" i="8"/>
  <c r="M6" i="8"/>
  <c r="L6" i="8"/>
  <c r="L29" i="8" s="1"/>
  <c r="K6" i="8"/>
  <c r="J6" i="8"/>
  <c r="I6" i="8"/>
  <c r="H6" i="8"/>
  <c r="G6" i="8"/>
  <c r="F6" i="8"/>
  <c r="E6" i="8"/>
  <c r="D6" i="8"/>
  <c r="D29" i="8" s="1"/>
  <c r="C6" i="8"/>
  <c r="W6" i="8" s="1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" i="8" s="1"/>
  <c r="V4" i="8"/>
  <c r="V29" i="8" s="1"/>
  <c r="U4" i="8"/>
  <c r="T4" i="8"/>
  <c r="S4" i="8"/>
  <c r="S29" i="8" s="1"/>
  <c r="R4" i="8"/>
  <c r="R29" i="8" s="1"/>
  <c r="Q4" i="8"/>
  <c r="Q29" i="8" s="1"/>
  <c r="P4" i="8"/>
  <c r="P29" i="8" s="1"/>
  <c r="O4" i="8"/>
  <c r="O29" i="8" s="1"/>
  <c r="N4" i="8"/>
  <c r="N29" i="8" s="1"/>
  <c r="M4" i="8"/>
  <c r="L4" i="8"/>
  <c r="K4" i="8"/>
  <c r="K29" i="8" s="1"/>
  <c r="J4" i="8"/>
  <c r="J29" i="8" s="1"/>
  <c r="I4" i="8"/>
  <c r="I29" i="8" s="1"/>
  <c r="H4" i="8"/>
  <c r="H29" i="8" s="1"/>
  <c r="G4" i="8"/>
  <c r="G29" i="8" s="1"/>
  <c r="F4" i="8"/>
  <c r="W4" i="8" s="1"/>
  <c r="W29" i="8" s="1"/>
  <c r="C8" i="9" s="1"/>
  <c r="E4" i="8"/>
  <c r="D4" i="8"/>
  <c r="C4" i="8"/>
  <c r="C29" i="8" s="1"/>
  <c r="B29" i="7"/>
  <c r="L27" i="7"/>
  <c r="K27" i="7"/>
  <c r="J27" i="7"/>
  <c r="I27" i="7"/>
  <c r="H27" i="7"/>
  <c r="G27" i="7"/>
  <c r="F27" i="7"/>
  <c r="E27" i="7"/>
  <c r="M27" i="7" s="1"/>
  <c r="D27" i="7"/>
  <c r="C27" i="7"/>
  <c r="L26" i="7"/>
  <c r="K26" i="7"/>
  <c r="J26" i="7"/>
  <c r="I26" i="7"/>
  <c r="H26" i="7"/>
  <c r="G26" i="7"/>
  <c r="F26" i="7"/>
  <c r="E26" i="7"/>
  <c r="D26" i="7"/>
  <c r="C26" i="7"/>
  <c r="M26" i="7" s="1"/>
  <c r="L25" i="7"/>
  <c r="K25" i="7"/>
  <c r="J25" i="7"/>
  <c r="I25" i="7"/>
  <c r="H25" i="7"/>
  <c r="G25" i="7"/>
  <c r="F25" i="7"/>
  <c r="E25" i="7"/>
  <c r="D25" i="7"/>
  <c r="C25" i="7"/>
  <c r="M25" i="7" s="1"/>
  <c r="L24" i="7"/>
  <c r="K24" i="7"/>
  <c r="J24" i="7"/>
  <c r="I24" i="7"/>
  <c r="H24" i="7"/>
  <c r="G24" i="7"/>
  <c r="F24" i="7"/>
  <c r="E24" i="7"/>
  <c r="M24" i="7" s="1"/>
  <c r="D24" i="7"/>
  <c r="C24" i="7"/>
  <c r="L23" i="7"/>
  <c r="K23" i="7"/>
  <c r="J23" i="7"/>
  <c r="I23" i="7"/>
  <c r="H23" i="7"/>
  <c r="G23" i="7"/>
  <c r="F23" i="7"/>
  <c r="E23" i="7"/>
  <c r="D23" i="7"/>
  <c r="C23" i="7"/>
  <c r="M23" i="7" s="1"/>
  <c r="L22" i="7"/>
  <c r="K22" i="7"/>
  <c r="J22" i="7"/>
  <c r="I22" i="7"/>
  <c r="H22" i="7"/>
  <c r="G22" i="7"/>
  <c r="F22" i="7"/>
  <c r="E22" i="7"/>
  <c r="D22" i="7"/>
  <c r="M22" i="7" s="1"/>
  <c r="C22" i="7"/>
  <c r="L21" i="7"/>
  <c r="K21" i="7"/>
  <c r="J21" i="7"/>
  <c r="I21" i="7"/>
  <c r="H21" i="7"/>
  <c r="G21" i="7"/>
  <c r="F21" i="7"/>
  <c r="E21" i="7"/>
  <c r="D21" i="7"/>
  <c r="C21" i="7"/>
  <c r="M21" i="7" s="1"/>
  <c r="L20" i="7"/>
  <c r="K20" i="7"/>
  <c r="J20" i="7"/>
  <c r="I20" i="7"/>
  <c r="H20" i="7"/>
  <c r="G20" i="7"/>
  <c r="F20" i="7"/>
  <c r="E20" i="7"/>
  <c r="D20" i="7"/>
  <c r="C20" i="7"/>
  <c r="M20" i="7" s="1"/>
  <c r="L19" i="7"/>
  <c r="K19" i="7"/>
  <c r="J19" i="7"/>
  <c r="I19" i="7"/>
  <c r="H19" i="7"/>
  <c r="G19" i="7"/>
  <c r="F19" i="7"/>
  <c r="E19" i="7"/>
  <c r="M19" i="7" s="1"/>
  <c r="D19" i="7"/>
  <c r="C19" i="7"/>
  <c r="L18" i="7"/>
  <c r="K18" i="7"/>
  <c r="J18" i="7"/>
  <c r="I18" i="7"/>
  <c r="H18" i="7"/>
  <c r="G18" i="7"/>
  <c r="F18" i="7"/>
  <c r="E18" i="7"/>
  <c r="D18" i="7"/>
  <c r="C18" i="7"/>
  <c r="M18" i="7" s="1"/>
  <c r="L17" i="7"/>
  <c r="K17" i="7"/>
  <c r="J17" i="7"/>
  <c r="I17" i="7"/>
  <c r="H17" i="7"/>
  <c r="G17" i="7"/>
  <c r="F17" i="7"/>
  <c r="E17" i="7"/>
  <c r="D17" i="7"/>
  <c r="C17" i="7"/>
  <c r="M17" i="7" s="1"/>
  <c r="L16" i="7"/>
  <c r="K16" i="7"/>
  <c r="J16" i="7"/>
  <c r="I16" i="7"/>
  <c r="H16" i="7"/>
  <c r="G16" i="7"/>
  <c r="F16" i="7"/>
  <c r="E16" i="7"/>
  <c r="M16" i="7" s="1"/>
  <c r="D16" i="7"/>
  <c r="C16" i="7"/>
  <c r="L15" i="7"/>
  <c r="K15" i="7"/>
  <c r="J15" i="7"/>
  <c r="I15" i="7"/>
  <c r="H15" i="7"/>
  <c r="G15" i="7"/>
  <c r="F15" i="7"/>
  <c r="E15" i="7"/>
  <c r="D15" i="7"/>
  <c r="C15" i="7"/>
  <c r="M15" i="7" s="1"/>
  <c r="L14" i="7"/>
  <c r="K14" i="7"/>
  <c r="J14" i="7"/>
  <c r="I14" i="7"/>
  <c r="H14" i="7"/>
  <c r="G14" i="7"/>
  <c r="F14" i="7"/>
  <c r="E14" i="7"/>
  <c r="D14" i="7"/>
  <c r="M14" i="7" s="1"/>
  <c r="C14" i="7"/>
  <c r="L13" i="7"/>
  <c r="K13" i="7"/>
  <c r="J13" i="7"/>
  <c r="I13" i="7"/>
  <c r="H13" i="7"/>
  <c r="G13" i="7"/>
  <c r="F13" i="7"/>
  <c r="E13" i="7"/>
  <c r="D13" i="7"/>
  <c r="C13" i="7"/>
  <c r="M13" i="7" s="1"/>
  <c r="L12" i="7"/>
  <c r="K12" i="7"/>
  <c r="J12" i="7"/>
  <c r="I12" i="7"/>
  <c r="H12" i="7"/>
  <c r="G12" i="7"/>
  <c r="F12" i="7"/>
  <c r="E12" i="7"/>
  <c r="D12" i="7"/>
  <c r="C12" i="7"/>
  <c r="M12" i="7" s="1"/>
  <c r="L11" i="7"/>
  <c r="K11" i="7"/>
  <c r="J11" i="7"/>
  <c r="I11" i="7"/>
  <c r="H11" i="7"/>
  <c r="G11" i="7"/>
  <c r="F11" i="7"/>
  <c r="E11" i="7"/>
  <c r="M11" i="7" s="1"/>
  <c r="D11" i="7"/>
  <c r="C11" i="7"/>
  <c r="L10" i="7"/>
  <c r="K10" i="7"/>
  <c r="J10" i="7"/>
  <c r="I10" i="7"/>
  <c r="H10" i="7"/>
  <c r="G10" i="7"/>
  <c r="F10" i="7"/>
  <c r="E10" i="7"/>
  <c r="D10" i="7"/>
  <c r="C10" i="7"/>
  <c r="M10" i="7" s="1"/>
  <c r="L9" i="7"/>
  <c r="K9" i="7"/>
  <c r="J9" i="7"/>
  <c r="I9" i="7"/>
  <c r="H9" i="7"/>
  <c r="G9" i="7"/>
  <c r="F9" i="7"/>
  <c r="E9" i="7"/>
  <c r="D9" i="7"/>
  <c r="C9" i="7"/>
  <c r="M9" i="7" s="1"/>
  <c r="L8" i="7"/>
  <c r="K8" i="7"/>
  <c r="J8" i="7"/>
  <c r="I8" i="7"/>
  <c r="H8" i="7"/>
  <c r="G8" i="7"/>
  <c r="F8" i="7"/>
  <c r="E8" i="7"/>
  <c r="M8" i="7" s="1"/>
  <c r="D8" i="7"/>
  <c r="C8" i="7"/>
  <c r="L7" i="7"/>
  <c r="K7" i="7"/>
  <c r="J7" i="7"/>
  <c r="I7" i="7"/>
  <c r="I29" i="7" s="1"/>
  <c r="H7" i="7"/>
  <c r="G7" i="7"/>
  <c r="F7" i="7"/>
  <c r="E7" i="7"/>
  <c r="D7" i="7"/>
  <c r="C7" i="7"/>
  <c r="M7" i="7" s="1"/>
  <c r="L6" i="7"/>
  <c r="K6" i="7"/>
  <c r="J6" i="7"/>
  <c r="I6" i="7"/>
  <c r="H6" i="7"/>
  <c r="G6" i="7"/>
  <c r="F6" i="7"/>
  <c r="E6" i="7"/>
  <c r="D6" i="7"/>
  <c r="M6" i="7" s="1"/>
  <c r="C6" i="7"/>
  <c r="L5" i="7"/>
  <c r="K5" i="7"/>
  <c r="J5" i="7"/>
  <c r="I5" i="7"/>
  <c r="H5" i="7"/>
  <c r="H29" i="7" s="1"/>
  <c r="G5" i="7"/>
  <c r="F5" i="7"/>
  <c r="E5" i="7"/>
  <c r="D5" i="7"/>
  <c r="C5" i="7"/>
  <c r="M5" i="7" s="1"/>
  <c r="L4" i="7"/>
  <c r="L29" i="7" s="1"/>
  <c r="K4" i="7"/>
  <c r="K29" i="7" s="1"/>
  <c r="J4" i="7"/>
  <c r="J29" i="7" s="1"/>
  <c r="I4" i="7"/>
  <c r="H4" i="7"/>
  <c r="G4" i="7"/>
  <c r="G29" i="7" s="1"/>
  <c r="F4" i="7"/>
  <c r="F29" i="7" s="1"/>
  <c r="E4" i="7"/>
  <c r="E29" i="7" s="1"/>
  <c r="D4" i="7"/>
  <c r="D29" i="7" s="1"/>
  <c r="C4" i="7"/>
  <c r="M4" i="7" s="1"/>
  <c r="B29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29" i="2" l="1"/>
  <c r="C7" i="9" s="1"/>
  <c r="C29" i="2"/>
  <c r="B7" i="9" s="1"/>
  <c r="M29" i="7"/>
  <c r="B8" i="9" s="1"/>
  <c r="C29" i="7"/>
  <c r="F29" i="8"/>
</calcChain>
</file>

<file path=xl/sharedStrings.xml><?xml version="1.0" encoding="utf-8"?>
<sst xmlns="http://schemas.openxmlformats.org/spreadsheetml/2006/main" count="279" uniqueCount="91">
  <si>
    <t>Ora</t>
  </si>
  <si>
    <t>PV singolo prosumer [kWh]</t>
  </si>
  <si>
    <t>PV totale caso base 4P [kWh]</t>
  </si>
  <si>
    <t>PV totale scenario 5P [kWh]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</si>
  <si>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</si>
  <si>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</si>
  <si>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</si>
  <si>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</si>
  <si>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</si>
  <si>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</si>
  <si>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</si>
  <si>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</si>
  <si>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</si>
  <si>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</si>
  <si>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</si>
  <si>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</si>
  <si>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</si>
  <si>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</si>
  <si>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</si>
  <si>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</si>
  <si>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</si>
  <si>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</si>
  <si>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</si>
  <si>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</si>
  <si>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</si>
  <si>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</si>
  <si>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</si>
  <si>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</si>
  <si>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Totale giornaliero</t>
  </si>
  <si>
    <t>Prezzi orari di acquisto e vendita dell'energia</t>
  </si>
  <si>
    <t>Prezzo acquisto [€/kWh]</t>
  </si>
  <si>
    <t>Prezzo vendita [€/kWh]</t>
  </si>
  <si>
    <t>Parametri tecnici del sistema di accumulo</t>
  </si>
  <si>
    <t>Parametro</t>
  </si>
  <si>
    <t>Valore</t>
  </si>
  <si>
    <t>Unità</t>
  </si>
  <si>
    <t>kWh</t>
  </si>
  <si>
    <t>SOC minimo</t>
  </si>
  <si>
    <t>SOC massimo</t>
  </si>
  <si>
    <t>SOC iniziale/finale</t>
  </si>
  <si>
    <t>-</t>
  </si>
  <si>
    <t>Energia max caricabile per intervallo</t>
  </si>
  <si>
    <t>Energia max scaricabile per intervallo</t>
  </si>
  <si>
    <t>Profilo medio orario ARERA</t>
  </si>
  <si>
    <t>Domanda media ARERA [kWh]</t>
  </si>
  <si>
    <t>Utente</t>
  </si>
  <si>
    <t>Tipologia</t>
  </si>
  <si>
    <t>P1</t>
  </si>
  <si>
    <t>Prosumer</t>
  </si>
  <si>
    <t>P2</t>
  </si>
  <si>
    <t>P3</t>
  </si>
  <si>
    <t>P4</t>
  </si>
  <si>
    <t>C1</t>
  </si>
  <si>
    <t>Consumer</t>
  </si>
  <si>
    <t>P5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</si>
  <si>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</si>
  <si>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</si>
  <si>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</si>
  <si>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</si>
  <si>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</si>
  <si>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</si>
  <si>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</si>
  <si>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</si>
  <si>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</si>
  <si>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</si>
  <si>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</si>
  <si>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</si>
  <si>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</si>
  <si>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</si>
  <si>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Domanda oraria - caso base (4 prosumer + 6 consumer)</t>
  </si>
  <si>
    <t>Domanda totale CER [kWh]</t>
  </si>
  <si>
    <t>Domanda oraria - scenario alternativo (5 prosumer + 15 consumer)</t>
  </si>
  <si>
    <t>Riepilogo dati di input per i due scenari</t>
  </si>
  <si>
    <t>Grandezza</t>
  </si>
  <si>
    <t>Caso base 4P6C</t>
  </si>
  <si>
    <t>Scenario 5P15C</t>
  </si>
  <si>
    <t>Numero utenti</t>
  </si>
  <si>
    <t>Numero prosumer</t>
  </si>
  <si>
    <t>Numero consumer</t>
  </si>
  <si>
    <t>Produzione FV giornaliera</t>
  </si>
  <si>
    <t>Domanda giornaliera</t>
  </si>
  <si>
    <t>Capacità BESS</t>
  </si>
  <si>
    <t>Produzione fotovoltaica</t>
  </si>
  <si>
    <t>Fattori di scala kᵤ della domanda</t>
  </si>
  <si>
    <t>kᵤ - caso base</t>
  </si>
  <si>
    <t>kᵤ - scenario 5P15C</t>
  </si>
  <si>
    <r>
      <t>D</t>
    </r>
    <r>
      <rPr>
        <b/>
        <vertAlign val="superscript"/>
        <sz val="11"/>
        <color rgb="FFFFFFFF"/>
        <rFont val="apice"/>
      </rPr>
      <t>ARERA</t>
    </r>
    <r>
      <rPr>
        <b/>
        <sz val="11"/>
        <color rgb="FFFFFFFF"/>
        <rFont val="Carlito"/>
      </rPr>
      <t xml:space="preserve"> [kWh]</t>
    </r>
  </si>
  <si>
    <r>
      <t>D</t>
    </r>
    <r>
      <rPr>
        <b/>
        <vertAlign val="superscript"/>
        <sz val="11"/>
        <color rgb="FFFFFFFF"/>
        <rFont val="Carlito"/>
        <family val="2"/>
      </rPr>
      <t>ARERA</t>
    </r>
    <r>
      <rPr>
        <b/>
        <sz val="11"/>
        <color rgb="FFFFFFFF"/>
        <rFont val="Carlito"/>
      </rPr>
      <t xml:space="preserve"> [kWh]</t>
    </r>
  </si>
  <si>
    <r>
      <t>Capacità nominale E</t>
    </r>
    <r>
      <rPr>
        <vertAlign val="superscript"/>
        <sz val="11"/>
        <rFont val="Carlito"/>
        <family val="2"/>
      </rPr>
      <t>nom</t>
    </r>
  </si>
  <si>
    <r>
      <t>Rendimento di carica η</t>
    </r>
    <r>
      <rPr>
        <vertAlign val="subscript"/>
        <sz val="11"/>
        <rFont val="Carlito"/>
        <family val="2"/>
      </rPr>
      <t>c</t>
    </r>
  </si>
  <si>
    <r>
      <t>Rendimento di scarica η</t>
    </r>
    <r>
      <rPr>
        <vertAlign val="subscript"/>
        <sz val="11"/>
        <rFont val="Carlito"/>
        <family val="2"/>
      </rPr>
      <t>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</si>
</sst>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"/>
    <numFmt numFmtId="166" formatCode="0.000"/>
  </numFmts>
  <fonts count="11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b/>
      <sz val="11"/>
      <color rgb="FFFFFFFF"/>
      <name val="Carlito"/>
      <family val="2"/>
    </font>
    <font>
      <b/>
      <vertAlign val="superscript"/>
      <sz val="11"/>
      <color rgb="FFFFFFFF"/>
      <name val="apice"/>
    </font>
    <font>
      <b/>
      <vertAlign val="superscript"/>
      <sz val="11"/>
      <color rgb="FFFFFFFF"/>
      <name val="Carlito"/>
      <family val="2"/>
    </font>
    <font>
      <vertAlign val="superscript"/>
      <sz val="11"/>
      <name val="Carlito"/>
      <family val="2"/>
    </font>
    <font>
      <sz val="11"/>
      <name val="Carlito"/>
      <family val="2"/>
    </font>
    <font>
      <vertAlign val="subscript"/>
      <sz val="11"/>
      <name val="Carlito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164" fontId="0" fillId="0" borderId="0" xfId="1" applyNumberFormat="1" applyFont="1"/>
    <xf numFmtId="165" fontId="0" fillId="0" borderId="0" xfId="1" applyNumberFormat="1" applyFont="1"/>
    <xf numFmtId="2" fontId="0" fillId="0" borderId="0" xfId="1" applyNumberFormat="1" applyFont="1"/>
    <xf numFmtId="166" fontId="0" fillId="0" borderId="0" xfId="1" applyNumberFormat="1" applyFont="1"/>
    <xf numFmtId="0" fontId="2" fillId="2" borderId="0" xfId="1" applyFont="1" applyFill="1" applyAlignment="1">
      <alignment horizontal="center" vertical="center"/>
    </xf>
    <xf numFmtId="0" fontId="3" fillId="4" borderId="0" xfId="1" applyFont="1" applyFill="1" applyAlignment="1">
      <alignment horizontal="center"/>
    </xf>
    <xf numFmtId="164" fontId="3" fillId="4" borderId="0" xfId="1" applyNumberFormat="1" applyFont="1" applyFill="1" applyAlignment="1">
      <alignment horizontal="center"/>
    </xf>
    <xf numFmtId="0" fontId="5" fillId="2" borderId="0" xfId="1" applyFont="1" applyFill="1" applyAlignment="1">
      <alignment horizontal="center" vertical="center"/>
    </xf>
    <xf numFmtId="0" fontId="9" fillId="0" borderId="0" xfId="0" applyFont="1"/>
    <xf numFmtId="0" fontId="1" fillId="3" borderId="0" xfId="1" applyFont="1" applyFill="1" applyAlignment="1">
      <alignment horizontal="left"/>
    </xf>
  </cellXfs>
  <cellStyles count="2">
    <cellStyle name="Normal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tabSelected="1" workbookViewId="0">
      <selection activeCell="H27" sqref="H27"/>
    </sheetView>
  </sheetViews>
  <sheetFormatPr defaultRowHeight="14.5"/>
  <cols>
    <col min="1" max="1" width="16" customWidth="1"/>
    <col min="2" max="4" width="25" customWidth="1"/>
  </cols>
  <sheetData>
    <row r="1" spans="1:4" ht="18.5">
      <c r="A1" s="10" t="s">
        <v>82</v>
      </c>
      <c r="B1" s="10"/>
      <c r="C1" s="10"/>
      <c r="D1" s="10"/>
    </row>
    <row r="3" spans="1:4">
      <c r="A3" s="5" t="s">
        <v>0</v>
      </c>
      <c r="B3" s="5" t="s">
        <v>1</v>
      </c>
      <c r="C3" s="5" t="s">
        <v>2</v>
      </c>
      <c r="D3" s="5" t="s">
        <v>3</v>
      </c>
    </row>
    <row r="4" spans="1:4">
      <c r="A4" t="s">
        <v>4</v>
      </c>
      <c r="B4" s="1">
        <v>0</v>
      </c>
      <c r="C4" s="1">
        <f t="shared" ref="C4:C27" si="0">B4*4</f>
        <v>0</v>
      </c>
      <c r="D4" s="1">
        <f t="shared" ref="D4:D27" si="1">B4*5</f>
        <v>0</v>
      </c>
    </row>
    <row r="5" spans="1:4">
      <c r="A5" t="s">
        <v>5</v>
      </c>
      <c r="B5" s="1">
        <v>0</v>
      </c>
      <c r="C5" s="1">
        <f t="shared" si="0"/>
        <v>0</v>
      </c>
      <c r="D5" s="1">
        <f t="shared" si="1"/>
        <v>0</v>
      </c>
    </row>
    <row r="6" spans="1:4">
      <c r="A6" t="s">
        <v>6</v>
      </c>
      <c r="B6" s="1">
        <v>0</v>
      </c>
      <c r="C6" s="1">
        <f t="shared" si="0"/>
        <v>0</v>
      </c>
      <c r="D6" s="1">
        <f t="shared" si="1"/>
        <v>0</v>
      </c>
    </row>
    <row r="7" spans="1:4">
      <c r="A7" t="s">
        <v>7</v>
      </c>
      <c r="B7" s="1">
        <v>0</v>
      </c>
      <c r="C7" s="1">
        <f t="shared" si="0"/>
        <v>0</v>
      </c>
      <c r="D7" s="1">
        <f t="shared" si="1"/>
        <v>0</v>
      </c>
    </row>
    <row r="8" spans="1:4">
      <c r="A8" t="s">
        <v>8</v>
      </c>
      <c r="B8" s="1">
        <v>9.5999999999999992E-3</v>
      </c>
      <c r="C8" s="1">
        <f t="shared" si="0"/>
        <v>3.8399999999999997E-2</v>
      </c>
      <c r="D8" s="1">
        <f t="shared" si="1"/>
        <v>4.7999999999999994E-2</v>
      </c>
    </row>
    <row r="9" spans="1:4">
      <c r="A9" t="s">
        <v>9</v>
      </c>
      <c r="B9" s="1">
        <v>0.62150000000000005</v>
      </c>
      <c r="C9" s="1">
        <f t="shared" si="0"/>
        <v>2.4860000000000002</v>
      </c>
      <c r="D9" s="1">
        <f t="shared" si="1"/>
        <v>3.1075000000000004</v>
      </c>
    </row>
    <row r="10" spans="1:4">
      <c r="A10" t="s">
        <v>10</v>
      </c>
      <c r="B10" s="1">
        <v>1.8913</v>
      </c>
      <c r="C10" s="1">
        <f t="shared" si="0"/>
        <v>7.5651999999999999</v>
      </c>
      <c r="D10" s="1">
        <f t="shared" si="1"/>
        <v>9.4565000000000001</v>
      </c>
    </row>
    <row r="11" spans="1:4">
      <c r="A11" t="s">
        <v>11</v>
      </c>
      <c r="B11" s="1">
        <v>3.5257999999999998</v>
      </c>
      <c r="C11" s="1">
        <f t="shared" si="0"/>
        <v>14.103199999999999</v>
      </c>
      <c r="D11" s="1">
        <f t="shared" si="1"/>
        <v>17.628999999999998</v>
      </c>
    </row>
    <row r="12" spans="1:4">
      <c r="A12" t="s">
        <v>12</v>
      </c>
      <c r="B12" s="1">
        <v>5.0659999999999998</v>
      </c>
      <c r="C12" s="1">
        <f t="shared" si="0"/>
        <v>20.263999999999999</v>
      </c>
      <c r="D12" s="1">
        <f t="shared" si="1"/>
        <v>25.33</v>
      </c>
    </row>
    <row r="13" spans="1:4">
      <c r="A13" t="s">
        <v>13</v>
      </c>
      <c r="B13" s="1">
        <v>6.0967000000000002</v>
      </c>
      <c r="C13" s="1">
        <f t="shared" si="0"/>
        <v>24.386800000000001</v>
      </c>
      <c r="D13" s="1">
        <f t="shared" si="1"/>
        <v>30.483499999999999</v>
      </c>
    </row>
    <row r="14" spans="1:4">
      <c r="A14" t="s">
        <v>14</v>
      </c>
      <c r="B14" s="1">
        <v>6.6113999999999997</v>
      </c>
      <c r="C14" s="1">
        <f t="shared" si="0"/>
        <v>26.445599999999999</v>
      </c>
      <c r="D14" s="1">
        <f t="shared" si="1"/>
        <v>33.057000000000002</v>
      </c>
    </row>
    <row r="15" spans="1:4">
      <c r="A15" t="s">
        <v>15</v>
      </c>
      <c r="B15" s="1">
        <v>5.6600999999999999</v>
      </c>
      <c r="C15" s="1">
        <f t="shared" si="0"/>
        <v>22.6404</v>
      </c>
      <c r="D15" s="1">
        <f t="shared" si="1"/>
        <v>28.3005</v>
      </c>
    </row>
    <row r="16" spans="1:4">
      <c r="A16" t="s">
        <v>16</v>
      </c>
      <c r="B16" s="1">
        <v>6.9118000000000004</v>
      </c>
      <c r="C16" s="1">
        <f t="shared" si="0"/>
        <v>27.647200000000002</v>
      </c>
      <c r="D16" s="1">
        <f t="shared" si="1"/>
        <v>34.559000000000005</v>
      </c>
    </row>
    <row r="17" spans="1:4">
      <c r="A17" t="s">
        <v>17</v>
      </c>
      <c r="B17" s="1">
        <v>4.1782000000000004</v>
      </c>
      <c r="C17" s="1">
        <f t="shared" si="0"/>
        <v>16.712800000000001</v>
      </c>
      <c r="D17" s="1">
        <f t="shared" si="1"/>
        <v>20.891000000000002</v>
      </c>
    </row>
    <row r="18" spans="1:4">
      <c r="A18" t="s">
        <v>18</v>
      </c>
      <c r="B18" s="1">
        <v>5.22</v>
      </c>
      <c r="C18" s="1">
        <f t="shared" si="0"/>
        <v>20.88</v>
      </c>
      <c r="D18" s="1">
        <f t="shared" si="1"/>
        <v>26.099999999999998</v>
      </c>
    </row>
    <row r="19" spans="1:4">
      <c r="A19" t="s">
        <v>19</v>
      </c>
      <c r="B19" s="1">
        <v>3.8761000000000001</v>
      </c>
      <c r="C19" s="1">
        <f t="shared" si="0"/>
        <v>15.5044</v>
      </c>
      <c r="D19" s="1">
        <f t="shared" si="1"/>
        <v>19.380500000000001</v>
      </c>
    </row>
    <row r="20" spans="1:4">
      <c r="A20" t="s">
        <v>20</v>
      </c>
      <c r="B20" s="1">
        <v>2.2244000000000002</v>
      </c>
      <c r="C20" s="1">
        <f t="shared" si="0"/>
        <v>8.8976000000000006</v>
      </c>
      <c r="D20" s="1">
        <f t="shared" si="1"/>
        <v>11.122</v>
      </c>
    </row>
    <row r="21" spans="1:4">
      <c r="A21" t="s">
        <v>21</v>
      </c>
      <c r="B21" s="1">
        <v>0.75139999999999996</v>
      </c>
      <c r="C21" s="1">
        <f t="shared" si="0"/>
        <v>3.0055999999999998</v>
      </c>
      <c r="D21" s="1">
        <f t="shared" si="1"/>
        <v>3.7569999999999997</v>
      </c>
    </row>
    <row r="22" spans="1:4">
      <c r="A22" t="s">
        <v>22</v>
      </c>
      <c r="B22" s="1">
        <v>0.2</v>
      </c>
      <c r="C22" s="1">
        <f t="shared" si="0"/>
        <v>0.8</v>
      </c>
      <c r="D22" s="1">
        <f t="shared" si="1"/>
        <v>1</v>
      </c>
    </row>
    <row r="23" spans="1:4">
      <c r="A23" t="s">
        <v>23</v>
      </c>
      <c r="B23" s="1">
        <v>0</v>
      </c>
      <c r="C23" s="1">
        <f t="shared" si="0"/>
        <v>0</v>
      </c>
      <c r="D23" s="1">
        <f t="shared" si="1"/>
        <v>0</v>
      </c>
    </row>
    <row r="24" spans="1:4">
      <c r="A24" t="s">
        <v>24</v>
      </c>
      <c r="B24" s="1">
        <v>0</v>
      </c>
      <c r="C24" s="1">
        <f t="shared" si="0"/>
        <v>0</v>
      </c>
      <c r="D24" s="1">
        <f t="shared" si="1"/>
        <v>0</v>
      </c>
    </row>
    <row r="25" spans="1:4">
      <c r="A25" t="s">
        <v>25</v>
      </c>
      <c r="B25" s="1">
        <v>0</v>
      </c>
      <c r="C25" s="1">
        <f t="shared" si="0"/>
        <v>0</v>
      </c>
      <c r="D25" s="1">
        <f t="shared" si="1"/>
        <v>0</v>
      </c>
    </row>
    <row r="26" spans="1:4">
      <c r="A26" t="s">
        <v>26</v>
      </c>
      <c r="B26" s="1">
        <v>0</v>
      </c>
      <c r="C26" s="1">
        <f t="shared" si="0"/>
        <v>0</v>
      </c>
      <c r="D26" s="1">
        <f t="shared" si="1"/>
        <v>0</v>
      </c>
    </row>
    <row r="27" spans="1:4">
      <c r="A27" t="s">
        <v>27</v>
      </c>
      <c r="B27" s="1">
        <v>0</v>
      </c>
      <c r="C27" s="1">
        <f t="shared" si="0"/>
        <v>0</v>
      </c>
      <c r="D27" s="1">
        <f t="shared" si="1"/>
        <v>0</v>
      </c>
    </row>
    <row r="28" spans="1:4">
      <c r="B28" s="1"/>
      <c r="C28" s="1"/>
      <c r="D28" s="1"/>
    </row>
    <row r="29" spans="1:4">
      <c r="A29" s="6" t="s">
        <v>28</v>
      </c>
      <c r="B29" s="7">
        <f>SUM(B4:B27)</f>
        <v>52.844300000000004</v>
      </c>
      <c r="C29" s="7">
        <f>SUM(C4:C27)</f>
        <v>211.37720000000002</v>
      </c>
      <c r="D29" s="7">
        <f>SUM(D4:D27)</f>
        <v>264.22149999999999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7"/>
  <sheetViews>
    <sheetView workbookViewId="0">
      <selection activeCell="J29" sqref="J29"/>
    </sheetView>
  </sheetViews>
  <sheetFormatPr defaultRowHeight="14.5"/>
  <cols>
    <col min="1" max="1" width="16" customWidth="1"/>
    <col min="2" max="3" width="32" customWidth="1"/>
  </cols>
  <sheetData>
    <row r="1" spans="1:3" ht="18.5">
      <c r="A1" s="10" t="s">
        <v>29</v>
      </c>
      <c r="B1" s="10"/>
      <c r="C1" s="10"/>
    </row>
    <row r="3" spans="1:3">
      <c r="A3" s="5" t="s">
        <v>0</v>
      </c>
      <c r="B3" s="5" t="s">
        <v>30</v>
      </c>
      <c r="C3" s="5" t="s">
        <v>31</v>
      </c>
    </row>
    <row r="4" spans="1:3">
      <c r="A4" t="s">
        <v>4</v>
      </c>
      <c r="B4" s="2">
        <v>0.13767799999999999</v>
      </c>
      <c r="C4" s="2">
        <v>0.13400000000000001</v>
      </c>
    </row>
    <row r="5" spans="1:3">
      <c r="A5" t="s">
        <v>5</v>
      </c>
      <c r="B5" s="2">
        <v>0.1197</v>
      </c>
      <c r="C5" s="2">
        <v>0.1197</v>
      </c>
    </row>
    <row r="6" spans="1:3">
      <c r="A6" t="s">
        <v>6</v>
      </c>
      <c r="B6" s="2">
        <v>0.110703</v>
      </c>
      <c r="C6" s="2">
        <v>0.11070000000000001</v>
      </c>
    </row>
    <row r="7" spans="1:3">
      <c r="A7" t="s">
        <v>7</v>
      </c>
      <c r="B7" s="2">
        <v>0.1047</v>
      </c>
      <c r="C7" s="2">
        <v>0.1047</v>
      </c>
    </row>
    <row r="8" spans="1:3">
      <c r="A8" t="s">
        <v>8</v>
      </c>
      <c r="B8" s="2">
        <v>0.103889</v>
      </c>
      <c r="C8" s="2">
        <v>0.10389</v>
      </c>
    </row>
    <row r="9" spans="1:3">
      <c r="A9" t="s">
        <v>9</v>
      </c>
      <c r="B9" s="2">
        <v>0.10428</v>
      </c>
      <c r="C9" s="2">
        <v>0.10428</v>
      </c>
    </row>
    <row r="10" spans="1:3">
      <c r="A10" t="s">
        <v>10</v>
      </c>
      <c r="B10" s="2">
        <v>0.106985</v>
      </c>
      <c r="C10" s="2">
        <v>0.10698000000000001</v>
      </c>
    </row>
    <row r="11" spans="1:3">
      <c r="A11" t="s">
        <v>11</v>
      </c>
      <c r="B11" s="2">
        <v>0.1234</v>
      </c>
      <c r="C11" s="2">
        <v>0.1234</v>
      </c>
    </row>
    <row r="12" spans="1:3">
      <c r="A12" t="s">
        <v>12</v>
      </c>
      <c r="B12" s="2">
        <v>0.140768</v>
      </c>
      <c r="C12" s="2">
        <v>0.13766999999999999</v>
      </c>
    </row>
    <row r="13" spans="1:3">
      <c r="A13" t="s">
        <v>13</v>
      </c>
      <c r="B13" s="2">
        <v>0.14518200000000001</v>
      </c>
      <c r="C13" s="2">
        <v>0.14445</v>
      </c>
    </row>
    <row r="14" spans="1:3">
      <c r="A14" t="s">
        <v>14</v>
      </c>
      <c r="B14" s="2">
        <v>0.12773999999999999</v>
      </c>
      <c r="C14" s="2">
        <v>0.12601000000000001</v>
      </c>
    </row>
    <row r="15" spans="1:3">
      <c r="A15" t="s">
        <v>15</v>
      </c>
      <c r="B15" s="2">
        <v>0.124706</v>
      </c>
      <c r="C15" s="2">
        <v>0.12280000000000001</v>
      </c>
    </row>
    <row r="16" spans="1:3">
      <c r="A16" t="s">
        <v>16</v>
      </c>
      <c r="B16" s="2">
        <v>0.121048</v>
      </c>
      <c r="C16" s="2">
        <v>0.11939</v>
      </c>
    </row>
    <row r="17" spans="1:3">
      <c r="A17" t="s">
        <v>17</v>
      </c>
      <c r="B17" s="2">
        <v>0.106096</v>
      </c>
      <c r="C17" s="2">
        <v>0.10488</v>
      </c>
    </row>
    <row r="18" spans="1:3">
      <c r="A18" t="s">
        <v>18</v>
      </c>
      <c r="B18" s="2">
        <v>0.10680000000000001</v>
      </c>
      <c r="C18" s="2">
        <v>0.10680000000000001</v>
      </c>
    </row>
    <row r="19" spans="1:3">
      <c r="A19" t="s">
        <v>19</v>
      </c>
      <c r="B19" s="2">
        <v>0.11941</v>
      </c>
      <c r="C19" s="2">
        <v>0.11941</v>
      </c>
    </row>
    <row r="20" spans="1:3">
      <c r="A20" t="s">
        <v>20</v>
      </c>
      <c r="B20" s="2">
        <v>0.120162</v>
      </c>
      <c r="C20" s="2">
        <v>0.12</v>
      </c>
    </row>
    <row r="21" spans="1:3">
      <c r="A21" t="s">
        <v>21</v>
      </c>
      <c r="B21" s="2">
        <v>0.12753300000000001</v>
      </c>
      <c r="C21" s="2">
        <v>0.12578</v>
      </c>
    </row>
    <row r="22" spans="1:3">
      <c r="A22" t="s">
        <v>22</v>
      </c>
      <c r="B22" s="2">
        <v>0.124767</v>
      </c>
      <c r="C22" s="2">
        <v>0.12280000000000001</v>
      </c>
    </row>
    <row r="23" spans="1:3">
      <c r="A23" t="s">
        <v>23</v>
      </c>
      <c r="B23" s="2">
        <v>0.141823</v>
      </c>
      <c r="C23" s="2">
        <v>0.13800000000000001</v>
      </c>
    </row>
    <row r="24" spans="1:3">
      <c r="A24" t="s">
        <v>24</v>
      </c>
      <c r="B24" s="2">
        <v>0.17155300000000001</v>
      </c>
      <c r="C24" s="2">
        <v>0.1666</v>
      </c>
    </row>
    <row r="25" spans="1:3">
      <c r="A25" t="s">
        <v>25</v>
      </c>
      <c r="B25" s="2">
        <v>0.19140299999999999</v>
      </c>
      <c r="C25" s="2">
        <v>0.18745999999999999</v>
      </c>
    </row>
    <row r="26" spans="1:3">
      <c r="A26" t="s">
        <v>26</v>
      </c>
      <c r="B26" s="2">
        <v>0.170017</v>
      </c>
      <c r="C26" s="2">
        <v>0.16472999999999999</v>
      </c>
    </row>
    <row r="27" spans="1:3">
      <c r="A27" t="s">
        <v>27</v>
      </c>
      <c r="B27" s="2">
        <v>0.15726999999999999</v>
      </c>
      <c r="C27" s="2">
        <v>0.15115000000000001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selection activeCell="D15" sqref="D15"/>
    </sheetView>
  </sheetViews>
  <sheetFormatPr defaultRowHeight="14.5"/>
  <cols>
    <col min="1" max="1" width="38" customWidth="1"/>
    <col min="2" max="4" width="24" customWidth="1"/>
  </cols>
  <sheetData>
    <row r="1" spans="1:4" ht="18.5">
      <c r="A1" s="10" t="s">
        <v>32</v>
      </c>
      <c r="B1" s="10"/>
      <c r="C1" s="10"/>
      <c r="D1" s="10"/>
    </row>
    <row r="3" spans="1:4">
      <c r="A3" s="5" t="s">
        <v>33</v>
      </c>
      <c r="B3" s="5" t="s">
        <v>34</v>
      </c>
      <c r="C3" s="5" t="s">
        <v>35</v>
      </c>
    </row>
    <row r="4" spans="1:4" ht="16.5">
      <c r="A4" s="9" t="s">
        <v>88</v>
      </c>
      <c r="B4" s="3">
        <v>9.5</v>
      </c>
      <c r="C4" t="s">
        <v>36</v>
      </c>
    </row>
    <row r="5" spans="1:4">
      <c r="A5" t="s">
        <v>37</v>
      </c>
      <c r="B5" s="3">
        <v>0.95</v>
      </c>
      <c r="C5" t="s">
        <v>36</v>
      </c>
    </row>
    <row r="6" spans="1:4">
      <c r="A6" t="s">
        <v>38</v>
      </c>
      <c r="B6" s="3">
        <v>8.5500000000000007</v>
      </c>
      <c r="C6" t="s">
        <v>36</v>
      </c>
    </row>
    <row r="7" spans="1:4">
      <c r="A7" t="s">
        <v>39</v>
      </c>
      <c r="B7" s="3">
        <v>4.75</v>
      </c>
      <c r="C7" t="s">
        <v>36</v>
      </c>
    </row>
    <row r="8" spans="1:4" ht="16.5">
      <c r="A8" s="9" t="s">
        <v>89</v>
      </c>
      <c r="B8" s="3">
        <v>0.96</v>
      </c>
      <c r="C8" t="s">
        <v>40</v>
      </c>
    </row>
    <row r="9" spans="1:4" ht="16.5">
      <c r="A9" s="9" t="s">
        <v>90</v>
      </c>
      <c r="B9" s="3">
        <v>0.96</v>
      </c>
      <c r="C9" t="s">
        <v>40</v>
      </c>
    </row>
    <row r="10" spans="1:4">
      <c r="A10" t="s">
        <v>41</v>
      </c>
      <c r="B10" s="3">
        <v>2.76</v>
      </c>
      <c r="C10" t="s">
        <v>36</v>
      </c>
    </row>
    <row r="11" spans="1:4">
      <c r="A11" t="s">
        <v>42</v>
      </c>
      <c r="B11" s="3">
        <v>2.76</v>
      </c>
      <c r="C11" t="s">
        <v>36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7"/>
  <sheetViews>
    <sheetView zoomScale="60" workbookViewId="0">
      <selection activeCell="B31" sqref="B31"/>
    </sheetView>
  </sheetViews>
  <sheetFormatPr defaultRowHeight="14.5"/>
  <cols>
    <col min="1" max="1" width="14" customWidth="1"/>
    <col min="2" max="2" width="44" customWidth="1"/>
  </cols>
  <sheetData>
    <row r="1" spans="1:2" ht="18.5">
      <c r="A1" s="10" t="s">
        <v>43</v>
      </c>
      <c r="B1" s="10"/>
    </row>
    <row r="3" spans="1:2">
      <c r="A3" s="5" t="s">
        <v>0</v>
      </c>
      <c r="B3" s="5" t="s">
        <v>44</v>
      </c>
    </row>
    <row r="4" spans="1:2">
      <c r="A4" t="s">
        <v>4</v>
      </c>
      <c r="B4" s="4">
        <v>0.16900000000000001</v>
      </c>
    </row>
    <row r="5" spans="1:2">
      <c r="A5" t="s">
        <v>5</v>
      </c>
      <c r="B5" s="4">
        <v>0.14099999999999999</v>
      </c>
    </row>
    <row r="6" spans="1:2">
      <c r="A6" t="s">
        <v>6</v>
      </c>
      <c r="B6" s="4">
        <v>0.126</v>
      </c>
    </row>
    <row r="7" spans="1:2">
      <c r="A7" t="s">
        <v>7</v>
      </c>
      <c r="B7" s="4">
        <v>0.11899999999999999</v>
      </c>
    </row>
    <row r="8" spans="1:2">
      <c r="A8" t="s">
        <v>8</v>
      </c>
      <c r="B8" s="4">
        <v>0.11600000000000001</v>
      </c>
    </row>
    <row r="9" spans="1:2">
      <c r="A9" t="s">
        <v>9</v>
      </c>
      <c r="B9" s="4">
        <v>0.11899999999999999</v>
      </c>
    </row>
    <row r="10" spans="1:2">
      <c r="A10" t="s">
        <v>10</v>
      </c>
      <c r="B10" s="4">
        <v>0.13400000000000001</v>
      </c>
    </row>
    <row r="11" spans="1:2">
      <c r="A11" t="s">
        <v>11</v>
      </c>
      <c r="B11" s="4">
        <v>0.16</v>
      </c>
    </row>
    <row r="12" spans="1:2">
      <c r="A12" t="s">
        <v>12</v>
      </c>
      <c r="B12" s="4">
        <v>0.16700000000000001</v>
      </c>
    </row>
    <row r="13" spans="1:2">
      <c r="A13" t="s">
        <v>13</v>
      </c>
      <c r="B13" s="4">
        <v>0.16500000000000001</v>
      </c>
    </row>
    <row r="14" spans="1:2">
      <c r="A14" t="s">
        <v>14</v>
      </c>
      <c r="B14" s="4">
        <v>0.16500000000000001</v>
      </c>
    </row>
    <row r="15" spans="1:2">
      <c r="A15" t="s">
        <v>15</v>
      </c>
      <c r="B15" s="4">
        <v>0.17199999999999999</v>
      </c>
    </row>
    <row r="16" spans="1:2">
      <c r="A16" t="s">
        <v>16</v>
      </c>
      <c r="B16" s="4">
        <v>0.188</v>
      </c>
    </row>
    <row r="17" spans="1:2">
      <c r="A17" t="s">
        <v>17</v>
      </c>
      <c r="B17" s="4">
        <v>0.19800000000000001</v>
      </c>
    </row>
    <row r="18" spans="1:2">
      <c r="A18" t="s">
        <v>18</v>
      </c>
      <c r="B18" s="4">
        <v>0.19800000000000001</v>
      </c>
    </row>
    <row r="19" spans="1:2">
      <c r="A19" t="s">
        <v>19</v>
      </c>
      <c r="B19" s="4">
        <v>0.19</v>
      </c>
    </row>
    <row r="20" spans="1:2">
      <c r="A20" t="s">
        <v>20</v>
      </c>
      <c r="B20" s="4">
        <v>0.184</v>
      </c>
    </row>
    <row r="21" spans="1:2">
      <c r="A21" t="s">
        <v>21</v>
      </c>
      <c r="B21" s="4">
        <v>0.188</v>
      </c>
    </row>
    <row r="22" spans="1:2">
      <c r="A22" t="s">
        <v>22</v>
      </c>
      <c r="B22" s="4">
        <v>0.20699999999999999</v>
      </c>
    </row>
    <row r="23" spans="1:2">
      <c r="A23" t="s">
        <v>23</v>
      </c>
      <c r="B23" s="4">
        <v>0.253</v>
      </c>
    </row>
    <row r="24" spans="1:2">
      <c r="A24" t="s">
        <v>24</v>
      </c>
      <c r="B24" s="4">
        <v>0.27200000000000002</v>
      </c>
    </row>
    <row r="25" spans="1:2">
      <c r="A25" t="s">
        <v>25</v>
      </c>
      <c r="B25" s="4">
        <v>0.27400000000000002</v>
      </c>
    </row>
    <row r="26" spans="1:2">
      <c r="A26" t="s">
        <v>26</v>
      </c>
      <c r="B26" s="4">
        <v>0.25</v>
      </c>
    </row>
    <row r="27" spans="1:2">
      <c r="A27" t="s">
        <v>27</v>
      </c>
      <c r="B27" s="4">
        <v>0.20899999999999999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3"/>
  <sheetViews>
    <sheetView zoomScale="80" workbookViewId="0">
      <selection activeCell="M14" sqref="M14"/>
    </sheetView>
  </sheetViews>
  <sheetFormatPr defaultRowHeight="14.5"/>
  <cols>
    <col min="1" max="7" width="20" customWidth="1"/>
  </cols>
  <sheetData>
    <row r="1" spans="1:7" ht="18.5">
      <c r="A1" s="10" t="s">
        <v>83</v>
      </c>
      <c r="B1" s="10"/>
      <c r="C1" s="10"/>
      <c r="D1" s="10"/>
      <c r="E1" s="10"/>
      <c r="F1" s="10"/>
      <c r="G1" s="10"/>
    </row>
    <row r="3" spans="1:7">
      <c r="A3" s="5" t="s">
        <v>45</v>
      </c>
      <c r="B3" s="5" t="s">
        <v>46</v>
      </c>
      <c r="C3" s="5" t="s">
        <v>84</v>
      </c>
      <c r="E3" s="5" t="s">
        <v>45</v>
      </c>
      <c r="F3" s="5" t="s">
        <v>46</v>
      </c>
      <c r="G3" s="5" t="s">
        <v>85</v>
      </c>
    </row>
    <row r="4" spans="1:7">
      <c r="A4" t="s">
        <v>47</v>
      </c>
      <c r="B4" t="s">
        <v>48</v>
      </c>
      <c r="C4" s="3">
        <v>0.85</v>
      </c>
      <c r="E4" t="s">
        <v>47</v>
      </c>
      <c r="F4" t="s">
        <v>48</v>
      </c>
      <c r="G4" s="3">
        <v>0.85</v>
      </c>
    </row>
    <row r="5" spans="1:7">
      <c r="A5" t="s">
        <v>49</v>
      </c>
      <c r="B5" t="s">
        <v>48</v>
      </c>
      <c r="C5" s="3">
        <v>0.95</v>
      </c>
      <c r="E5" t="s">
        <v>49</v>
      </c>
      <c r="F5" t="s">
        <v>48</v>
      </c>
      <c r="G5" s="3">
        <v>0.95</v>
      </c>
    </row>
    <row r="6" spans="1:7">
      <c r="A6" t="s">
        <v>50</v>
      </c>
      <c r="B6" t="s">
        <v>48</v>
      </c>
      <c r="C6" s="3">
        <v>1.05</v>
      </c>
      <c r="E6" t="s">
        <v>50</v>
      </c>
      <c r="F6" t="s">
        <v>48</v>
      </c>
      <c r="G6" s="3">
        <v>1.05</v>
      </c>
    </row>
    <row r="7" spans="1:7">
      <c r="A7" t="s">
        <v>51</v>
      </c>
      <c r="B7" t="s">
        <v>48</v>
      </c>
      <c r="C7" s="3">
        <v>1.1499999999999999</v>
      </c>
      <c r="E7" t="s">
        <v>51</v>
      </c>
      <c r="F7" t="s">
        <v>48</v>
      </c>
      <c r="G7" s="3">
        <v>1.1499999999999999</v>
      </c>
    </row>
    <row r="8" spans="1:7">
      <c r="A8" t="s">
        <v>52</v>
      </c>
      <c r="B8" t="s">
        <v>53</v>
      </c>
      <c r="C8" s="3">
        <v>0.8</v>
      </c>
      <c r="E8" t="s">
        <v>54</v>
      </c>
      <c r="F8" t="s">
        <v>48</v>
      </c>
      <c r="G8" s="3">
        <v>1</v>
      </c>
    </row>
    <row r="9" spans="1:7">
      <c r="A9" t="s">
        <v>55</v>
      </c>
      <c r="B9" t="s">
        <v>53</v>
      </c>
      <c r="C9" s="3">
        <v>0.9</v>
      </c>
      <c r="E9" t="s">
        <v>52</v>
      </c>
      <c r="F9" t="s">
        <v>53</v>
      </c>
      <c r="G9" s="3">
        <v>0.8</v>
      </c>
    </row>
    <row r="10" spans="1:7">
      <c r="A10" t="s">
        <v>56</v>
      </c>
      <c r="B10" t="s">
        <v>53</v>
      </c>
      <c r="C10" s="3">
        <v>0.95</v>
      </c>
      <c r="E10" t="s">
        <v>55</v>
      </c>
      <c r="F10" t="s">
        <v>53</v>
      </c>
      <c r="G10" s="3">
        <v>0.9</v>
      </c>
    </row>
    <row r="11" spans="1:7">
      <c r="A11" t="s">
        <v>57</v>
      </c>
      <c r="B11" t="s">
        <v>53</v>
      </c>
      <c r="C11" s="3">
        <v>1.05</v>
      </c>
      <c r="E11" t="s">
        <v>56</v>
      </c>
      <c r="F11" t="s">
        <v>53</v>
      </c>
      <c r="G11" s="3">
        <v>0.95</v>
      </c>
    </row>
    <row r="12" spans="1:7">
      <c r="A12" t="s">
        <v>58</v>
      </c>
      <c r="B12" t="s">
        <v>53</v>
      </c>
      <c r="C12" s="3">
        <v>1.1000000000000001</v>
      </c>
      <c r="E12" t="s">
        <v>57</v>
      </c>
      <c r="F12" t="s">
        <v>53</v>
      </c>
      <c r="G12" s="3">
        <v>1.05</v>
      </c>
    </row>
    <row r="13" spans="1:7">
      <c r="A13" t="s">
        <v>59</v>
      </c>
      <c r="B13" t="s">
        <v>53</v>
      </c>
      <c r="C13" s="3">
        <v>1.2</v>
      </c>
      <c r="E13" t="s">
        <v>58</v>
      </c>
      <c r="F13" t="s">
        <v>53</v>
      </c>
      <c r="G13" s="3">
        <v>1.1000000000000001</v>
      </c>
    </row>
    <row r="14" spans="1:7">
      <c r="E14" t="s">
        <v>59</v>
      </c>
      <c r="F14" t="s">
        <v>53</v>
      </c>
      <c r="G14" s="3">
        <v>1.2</v>
      </c>
    </row>
    <row r="15" spans="1:7">
      <c r="E15" t="s">
        <v>60</v>
      </c>
      <c r="F15" t="s">
        <v>53</v>
      </c>
      <c r="G15" s="3">
        <v>0.8</v>
      </c>
    </row>
    <row r="16" spans="1:7">
      <c r="E16" t="s">
        <v>61</v>
      </c>
      <c r="F16" t="s">
        <v>53</v>
      </c>
      <c r="G16" s="3">
        <v>0.9</v>
      </c>
    </row>
    <row r="17" spans="5:7">
      <c r="E17" t="s">
        <v>62</v>
      </c>
      <c r="F17" t="s">
        <v>53</v>
      </c>
      <c r="G17" s="3">
        <v>0.95</v>
      </c>
    </row>
    <row r="18" spans="5:7">
      <c r="E18" t="s">
        <v>63</v>
      </c>
      <c r="F18" t="s">
        <v>53</v>
      </c>
      <c r="G18" s="3">
        <v>1.05</v>
      </c>
    </row>
    <row r="19" spans="5:7">
      <c r="E19" t="s">
        <v>64</v>
      </c>
      <c r="F19" t="s">
        <v>53</v>
      </c>
      <c r="G19" s="3">
        <v>1.1000000000000001</v>
      </c>
    </row>
    <row r="20" spans="5:7">
      <c r="E20" t="s">
        <v>65</v>
      </c>
      <c r="F20" t="s">
        <v>53</v>
      </c>
      <c r="G20" s="3">
        <v>1.2</v>
      </c>
    </row>
    <row r="21" spans="5:7">
      <c r="E21" t="s">
        <v>66</v>
      </c>
      <c r="F21" t="s">
        <v>53</v>
      </c>
      <c r="G21" s="3">
        <v>0.9</v>
      </c>
    </row>
    <row r="22" spans="5:7">
      <c r="E22" t="s">
        <v>67</v>
      </c>
      <c r="F22" t="s">
        <v>53</v>
      </c>
      <c r="G22" s="3">
        <v>1</v>
      </c>
    </row>
    <row r="23" spans="5:7">
      <c r="E23" t="s">
        <v>68</v>
      </c>
      <c r="F23" t="s">
        <v>53</v>
      </c>
      <c r="G23" s="3">
        <v>1.1000000000000001</v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9"/>
  <sheetViews>
    <sheetView topLeftCell="A14" zoomScale="77" workbookViewId="0">
      <selection activeCell="B3" sqref="B3"/>
    </sheetView>
  </sheetViews>
  <sheetFormatPr defaultRowHeight="14.5"/>
  <cols>
    <col min="1" max="1" width="15.36328125" customWidth="1"/>
    <col min="2" max="2" width="20.54296875" customWidth="1"/>
    <col min="3" max="12" width="14" customWidth="1"/>
    <col min="13" max="13" width="33.08984375" customWidth="1"/>
  </cols>
  <sheetData>
    <row r="1" spans="1:13" ht="18.5">
      <c r="A1" s="10" t="s">
        <v>69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3" spans="1:13" ht="16">
      <c r="A3" s="5" t="s">
        <v>0</v>
      </c>
      <c r="B3" s="8" t="s">
        <v>86</v>
      </c>
      <c r="C3" s="5" t="s">
        <v>47</v>
      </c>
      <c r="D3" s="5" t="s">
        <v>49</v>
      </c>
      <c r="E3" s="5" t="s">
        <v>50</v>
      </c>
      <c r="F3" s="5" t="s">
        <v>51</v>
      </c>
      <c r="G3" s="5" t="s">
        <v>52</v>
      </c>
      <c r="H3" s="5" t="s">
        <v>55</v>
      </c>
      <c r="I3" s="5" t="s">
        <v>56</v>
      </c>
      <c r="J3" s="5" t="s">
        <v>57</v>
      </c>
      <c r="K3" s="5" t="s">
        <v>58</v>
      </c>
      <c r="L3" s="5" t="s">
        <v>59</v>
      </c>
      <c r="M3" s="5" t="s">
        <v>70</v>
      </c>
    </row>
    <row r="4" spans="1:13">
      <c r="A4" t="s">
        <v>4</v>
      </c>
      <c r="B4" s="1">
        <v>0.16900000000000001</v>
      </c>
      <c r="C4" s="1">
        <f t="shared" ref="C4:C27" si="0">$B4*0.85</f>
        <v>0.14365</v>
      </c>
      <c r="D4" s="1">
        <f t="shared" ref="D4:D27" si="1">$B4*0.95</f>
        <v>0.16055</v>
      </c>
      <c r="E4" s="1">
        <f t="shared" ref="E4:E27" si="2">$B4*1.05</f>
        <v>0.17745000000000002</v>
      </c>
      <c r="F4" s="1">
        <f t="shared" ref="F4:F27" si="3">$B4*1.15</f>
        <v>0.19434999999999999</v>
      </c>
      <c r="G4" s="1">
        <f t="shared" ref="G4:G27" si="4">$B4*0.8</f>
        <v>0.13520000000000001</v>
      </c>
      <c r="H4" s="1">
        <f t="shared" ref="H4:H27" si="5">$B4*0.9</f>
        <v>0.15210000000000001</v>
      </c>
      <c r="I4" s="1">
        <f t="shared" ref="I4:I27" si="6">$B4*0.95</f>
        <v>0.16055</v>
      </c>
      <c r="J4" s="1">
        <f t="shared" ref="J4:J27" si="7">$B4*1.05</f>
        <v>0.17745000000000002</v>
      </c>
      <c r="K4" s="1">
        <f t="shared" ref="K4:K27" si="8">$B4*1.1</f>
        <v>0.18590000000000004</v>
      </c>
      <c r="L4" s="1">
        <f t="shared" ref="L4:L27" si="9">$B4*1.2</f>
        <v>0.20280000000000001</v>
      </c>
      <c r="M4" s="1">
        <f t="shared" ref="M4:M27" si="10">SUM(C4:L4)</f>
        <v>1.6900000000000002</v>
      </c>
    </row>
    <row r="5" spans="1:13">
      <c r="A5" t="s">
        <v>5</v>
      </c>
      <c r="B5" s="1">
        <v>0.14099999999999999</v>
      </c>
      <c r="C5" s="1">
        <f t="shared" si="0"/>
        <v>0.11984999999999998</v>
      </c>
      <c r="D5" s="1">
        <f t="shared" si="1"/>
        <v>0.13394999999999999</v>
      </c>
      <c r="E5" s="1">
        <f t="shared" si="2"/>
        <v>0.14804999999999999</v>
      </c>
      <c r="F5" s="1">
        <f t="shared" si="3"/>
        <v>0.16214999999999996</v>
      </c>
      <c r="G5" s="1">
        <f t="shared" si="4"/>
        <v>0.1128</v>
      </c>
      <c r="H5" s="1">
        <f t="shared" si="5"/>
        <v>0.12689999999999999</v>
      </c>
      <c r="I5" s="1">
        <f t="shared" si="6"/>
        <v>0.13394999999999999</v>
      </c>
      <c r="J5" s="1">
        <f t="shared" si="7"/>
        <v>0.14804999999999999</v>
      </c>
      <c r="K5" s="1">
        <f t="shared" si="8"/>
        <v>0.15509999999999999</v>
      </c>
      <c r="L5" s="1">
        <f t="shared" si="9"/>
        <v>0.16919999999999999</v>
      </c>
      <c r="M5" s="1">
        <f t="shared" si="10"/>
        <v>1.41</v>
      </c>
    </row>
    <row r="6" spans="1:13">
      <c r="A6" t="s">
        <v>6</v>
      </c>
      <c r="B6" s="1">
        <v>0.126</v>
      </c>
      <c r="C6" s="1">
        <f t="shared" si="0"/>
        <v>0.1071</v>
      </c>
      <c r="D6" s="1">
        <f t="shared" si="1"/>
        <v>0.1197</v>
      </c>
      <c r="E6" s="1">
        <f t="shared" si="2"/>
        <v>0.1323</v>
      </c>
      <c r="F6" s="1">
        <f t="shared" si="3"/>
        <v>0.1449</v>
      </c>
      <c r="G6" s="1">
        <f t="shared" si="4"/>
        <v>0.1008</v>
      </c>
      <c r="H6" s="1">
        <f t="shared" si="5"/>
        <v>0.1134</v>
      </c>
      <c r="I6" s="1">
        <f t="shared" si="6"/>
        <v>0.1197</v>
      </c>
      <c r="J6" s="1">
        <f t="shared" si="7"/>
        <v>0.1323</v>
      </c>
      <c r="K6" s="1">
        <f t="shared" si="8"/>
        <v>0.1386</v>
      </c>
      <c r="L6" s="1">
        <f t="shared" si="9"/>
        <v>0.1512</v>
      </c>
      <c r="M6" s="1">
        <f t="shared" si="10"/>
        <v>1.26</v>
      </c>
    </row>
    <row r="7" spans="1:13">
      <c r="A7" t="s">
        <v>7</v>
      </c>
      <c r="B7" s="1">
        <v>0.11899999999999999</v>
      </c>
      <c r="C7" s="1">
        <f t="shared" si="0"/>
        <v>0.10114999999999999</v>
      </c>
      <c r="D7" s="1">
        <f t="shared" si="1"/>
        <v>0.11304999999999998</v>
      </c>
      <c r="E7" s="1">
        <f t="shared" si="2"/>
        <v>0.12495000000000001</v>
      </c>
      <c r="F7" s="1">
        <f t="shared" si="3"/>
        <v>0.13684999999999997</v>
      </c>
      <c r="G7" s="1">
        <f t="shared" si="4"/>
        <v>9.5200000000000007E-2</v>
      </c>
      <c r="H7" s="1">
        <f t="shared" si="5"/>
        <v>0.1071</v>
      </c>
      <c r="I7" s="1">
        <f t="shared" si="6"/>
        <v>0.11304999999999998</v>
      </c>
      <c r="J7" s="1">
        <f t="shared" si="7"/>
        <v>0.12495000000000001</v>
      </c>
      <c r="K7" s="1">
        <f t="shared" si="8"/>
        <v>0.13090000000000002</v>
      </c>
      <c r="L7" s="1">
        <f t="shared" si="9"/>
        <v>0.14279999999999998</v>
      </c>
      <c r="M7" s="1">
        <f t="shared" si="10"/>
        <v>1.19</v>
      </c>
    </row>
    <row r="8" spans="1:13">
      <c r="A8" t="s">
        <v>8</v>
      </c>
      <c r="B8" s="1">
        <v>0.11600000000000001</v>
      </c>
      <c r="C8" s="1">
        <f t="shared" si="0"/>
        <v>9.8600000000000007E-2</v>
      </c>
      <c r="D8" s="1">
        <f t="shared" si="1"/>
        <v>0.11020000000000001</v>
      </c>
      <c r="E8" s="1">
        <f t="shared" si="2"/>
        <v>0.12180000000000001</v>
      </c>
      <c r="F8" s="1">
        <f t="shared" si="3"/>
        <v>0.13339999999999999</v>
      </c>
      <c r="G8" s="1">
        <f t="shared" si="4"/>
        <v>9.2800000000000007E-2</v>
      </c>
      <c r="H8" s="1">
        <f t="shared" si="5"/>
        <v>0.10440000000000001</v>
      </c>
      <c r="I8" s="1">
        <f t="shared" si="6"/>
        <v>0.11020000000000001</v>
      </c>
      <c r="J8" s="1">
        <f t="shared" si="7"/>
        <v>0.12180000000000001</v>
      </c>
      <c r="K8" s="1">
        <f t="shared" si="8"/>
        <v>0.12760000000000002</v>
      </c>
      <c r="L8" s="1">
        <f t="shared" si="9"/>
        <v>0.13919999999999999</v>
      </c>
      <c r="M8" s="1">
        <f t="shared" si="10"/>
        <v>1.1599999999999999</v>
      </c>
    </row>
    <row r="9" spans="1:13">
      <c r="A9" t="s">
        <v>9</v>
      </c>
      <c r="B9" s="1">
        <v>0.11899999999999999</v>
      </c>
      <c r="C9" s="1">
        <f t="shared" si="0"/>
        <v>0.10114999999999999</v>
      </c>
      <c r="D9" s="1">
        <f t="shared" si="1"/>
        <v>0.11304999999999998</v>
      </c>
      <c r="E9" s="1">
        <f t="shared" si="2"/>
        <v>0.12495000000000001</v>
      </c>
      <c r="F9" s="1">
        <f t="shared" si="3"/>
        <v>0.13684999999999997</v>
      </c>
      <c r="G9" s="1">
        <f t="shared" si="4"/>
        <v>9.5200000000000007E-2</v>
      </c>
      <c r="H9" s="1">
        <f t="shared" si="5"/>
        <v>0.1071</v>
      </c>
      <c r="I9" s="1">
        <f t="shared" si="6"/>
        <v>0.11304999999999998</v>
      </c>
      <c r="J9" s="1">
        <f t="shared" si="7"/>
        <v>0.12495000000000001</v>
      </c>
      <c r="K9" s="1">
        <f t="shared" si="8"/>
        <v>0.13090000000000002</v>
      </c>
      <c r="L9" s="1">
        <f t="shared" si="9"/>
        <v>0.14279999999999998</v>
      </c>
      <c r="M9" s="1">
        <f t="shared" si="10"/>
        <v>1.19</v>
      </c>
    </row>
    <row r="10" spans="1:13">
      <c r="A10" t="s">
        <v>10</v>
      </c>
      <c r="B10" s="1">
        <v>0.13400000000000001</v>
      </c>
      <c r="C10" s="1">
        <f t="shared" si="0"/>
        <v>0.1139</v>
      </c>
      <c r="D10" s="1">
        <f t="shared" si="1"/>
        <v>0.1273</v>
      </c>
      <c r="E10" s="1">
        <f t="shared" si="2"/>
        <v>0.14070000000000002</v>
      </c>
      <c r="F10" s="1">
        <f t="shared" si="3"/>
        <v>0.15409999999999999</v>
      </c>
      <c r="G10" s="1">
        <f t="shared" si="4"/>
        <v>0.10720000000000002</v>
      </c>
      <c r="H10" s="1">
        <f t="shared" si="5"/>
        <v>0.12060000000000001</v>
      </c>
      <c r="I10" s="1">
        <f t="shared" si="6"/>
        <v>0.1273</v>
      </c>
      <c r="J10" s="1">
        <f t="shared" si="7"/>
        <v>0.14070000000000002</v>
      </c>
      <c r="K10" s="1">
        <f t="shared" si="8"/>
        <v>0.14740000000000003</v>
      </c>
      <c r="L10" s="1">
        <f t="shared" si="9"/>
        <v>0.1608</v>
      </c>
      <c r="M10" s="1">
        <f t="shared" si="10"/>
        <v>1.34</v>
      </c>
    </row>
    <row r="11" spans="1:13">
      <c r="A11" t="s">
        <v>11</v>
      </c>
      <c r="B11" s="1">
        <v>0.16</v>
      </c>
      <c r="C11" s="1">
        <f t="shared" si="0"/>
        <v>0.13600000000000001</v>
      </c>
      <c r="D11" s="1">
        <f t="shared" si="1"/>
        <v>0.152</v>
      </c>
      <c r="E11" s="1">
        <f t="shared" si="2"/>
        <v>0.16800000000000001</v>
      </c>
      <c r="F11" s="1">
        <f t="shared" si="3"/>
        <v>0.184</v>
      </c>
      <c r="G11" s="1">
        <f t="shared" si="4"/>
        <v>0.128</v>
      </c>
      <c r="H11" s="1">
        <f t="shared" si="5"/>
        <v>0.14400000000000002</v>
      </c>
      <c r="I11" s="1">
        <f t="shared" si="6"/>
        <v>0.152</v>
      </c>
      <c r="J11" s="1">
        <f t="shared" si="7"/>
        <v>0.16800000000000001</v>
      </c>
      <c r="K11" s="1">
        <f t="shared" si="8"/>
        <v>0.17600000000000002</v>
      </c>
      <c r="L11" s="1">
        <f t="shared" si="9"/>
        <v>0.192</v>
      </c>
      <c r="M11" s="1">
        <f t="shared" si="10"/>
        <v>1.5999999999999999</v>
      </c>
    </row>
    <row r="12" spans="1:13">
      <c r="A12" t="s">
        <v>12</v>
      </c>
      <c r="B12" s="1">
        <v>0.16700000000000001</v>
      </c>
      <c r="C12" s="1">
        <f t="shared" si="0"/>
        <v>0.14194999999999999</v>
      </c>
      <c r="D12" s="1">
        <f t="shared" si="1"/>
        <v>0.15865000000000001</v>
      </c>
      <c r="E12" s="1">
        <f t="shared" si="2"/>
        <v>0.17535000000000001</v>
      </c>
      <c r="F12" s="1">
        <f t="shared" si="3"/>
        <v>0.19205</v>
      </c>
      <c r="G12" s="1">
        <f t="shared" si="4"/>
        <v>0.13360000000000002</v>
      </c>
      <c r="H12" s="1">
        <f t="shared" si="5"/>
        <v>0.15030000000000002</v>
      </c>
      <c r="I12" s="1">
        <f t="shared" si="6"/>
        <v>0.15865000000000001</v>
      </c>
      <c r="J12" s="1">
        <f t="shared" si="7"/>
        <v>0.17535000000000001</v>
      </c>
      <c r="K12" s="1">
        <f t="shared" si="8"/>
        <v>0.18370000000000003</v>
      </c>
      <c r="L12" s="1">
        <f t="shared" si="9"/>
        <v>0.20039999999999999</v>
      </c>
      <c r="M12" s="1">
        <f t="shared" si="10"/>
        <v>1.6699999999999997</v>
      </c>
    </row>
    <row r="13" spans="1:13">
      <c r="A13" t="s">
        <v>13</v>
      </c>
      <c r="B13" s="1">
        <v>0.16500000000000001</v>
      </c>
      <c r="C13" s="1">
        <f t="shared" si="0"/>
        <v>0.14025000000000001</v>
      </c>
      <c r="D13" s="1">
        <f t="shared" si="1"/>
        <v>0.15675</v>
      </c>
      <c r="E13" s="1">
        <f t="shared" si="2"/>
        <v>0.17325000000000002</v>
      </c>
      <c r="F13" s="1">
        <f t="shared" si="3"/>
        <v>0.18975</v>
      </c>
      <c r="G13" s="1">
        <f t="shared" si="4"/>
        <v>0.13200000000000001</v>
      </c>
      <c r="H13" s="1">
        <f t="shared" si="5"/>
        <v>0.14850000000000002</v>
      </c>
      <c r="I13" s="1">
        <f t="shared" si="6"/>
        <v>0.15675</v>
      </c>
      <c r="J13" s="1">
        <f t="shared" si="7"/>
        <v>0.17325000000000002</v>
      </c>
      <c r="K13" s="1">
        <f t="shared" si="8"/>
        <v>0.18150000000000002</v>
      </c>
      <c r="L13" s="1">
        <f t="shared" si="9"/>
        <v>0.19800000000000001</v>
      </c>
      <c r="M13" s="1">
        <f t="shared" si="10"/>
        <v>1.6500000000000001</v>
      </c>
    </row>
    <row r="14" spans="1:13">
      <c r="A14" t="s">
        <v>14</v>
      </c>
      <c r="B14" s="1">
        <v>0.16500000000000001</v>
      </c>
      <c r="C14" s="1">
        <f t="shared" si="0"/>
        <v>0.14025000000000001</v>
      </c>
      <c r="D14" s="1">
        <f t="shared" si="1"/>
        <v>0.15675</v>
      </c>
      <c r="E14" s="1">
        <f t="shared" si="2"/>
        <v>0.17325000000000002</v>
      </c>
      <c r="F14" s="1">
        <f t="shared" si="3"/>
        <v>0.18975</v>
      </c>
      <c r="G14" s="1">
        <f t="shared" si="4"/>
        <v>0.13200000000000001</v>
      </c>
      <c r="H14" s="1">
        <f t="shared" si="5"/>
        <v>0.14850000000000002</v>
      </c>
      <c r="I14" s="1">
        <f t="shared" si="6"/>
        <v>0.15675</v>
      </c>
      <c r="J14" s="1">
        <f t="shared" si="7"/>
        <v>0.17325000000000002</v>
      </c>
      <c r="K14" s="1">
        <f t="shared" si="8"/>
        <v>0.18150000000000002</v>
      </c>
      <c r="L14" s="1">
        <f t="shared" si="9"/>
        <v>0.19800000000000001</v>
      </c>
      <c r="M14" s="1">
        <f t="shared" si="10"/>
        <v>1.6500000000000001</v>
      </c>
    </row>
    <row r="15" spans="1:13">
      <c r="A15" t="s">
        <v>15</v>
      </c>
      <c r="B15" s="1">
        <v>0.17199999999999999</v>
      </c>
      <c r="C15" s="1">
        <f t="shared" si="0"/>
        <v>0.1462</v>
      </c>
      <c r="D15" s="1">
        <f t="shared" si="1"/>
        <v>0.16339999999999999</v>
      </c>
      <c r="E15" s="1">
        <f t="shared" si="2"/>
        <v>0.18059999999999998</v>
      </c>
      <c r="F15" s="1">
        <f t="shared" si="3"/>
        <v>0.19779999999999998</v>
      </c>
      <c r="G15" s="1">
        <f t="shared" si="4"/>
        <v>0.1376</v>
      </c>
      <c r="H15" s="1">
        <f t="shared" si="5"/>
        <v>0.15479999999999999</v>
      </c>
      <c r="I15" s="1">
        <f t="shared" si="6"/>
        <v>0.16339999999999999</v>
      </c>
      <c r="J15" s="1">
        <f t="shared" si="7"/>
        <v>0.18059999999999998</v>
      </c>
      <c r="K15" s="1">
        <f t="shared" si="8"/>
        <v>0.18920000000000001</v>
      </c>
      <c r="L15" s="1">
        <f t="shared" si="9"/>
        <v>0.20639999999999997</v>
      </c>
      <c r="M15" s="1">
        <f t="shared" si="10"/>
        <v>1.7199999999999998</v>
      </c>
    </row>
    <row r="16" spans="1:13">
      <c r="A16" t="s">
        <v>16</v>
      </c>
      <c r="B16" s="1">
        <v>0.188</v>
      </c>
      <c r="C16" s="1">
        <f t="shared" si="0"/>
        <v>0.1598</v>
      </c>
      <c r="D16" s="1">
        <f t="shared" si="1"/>
        <v>0.17859999999999998</v>
      </c>
      <c r="E16" s="1">
        <f t="shared" si="2"/>
        <v>0.19740000000000002</v>
      </c>
      <c r="F16" s="1">
        <f t="shared" si="3"/>
        <v>0.21619999999999998</v>
      </c>
      <c r="G16" s="1">
        <f t="shared" si="4"/>
        <v>0.15040000000000001</v>
      </c>
      <c r="H16" s="1">
        <f t="shared" si="5"/>
        <v>0.16920000000000002</v>
      </c>
      <c r="I16" s="1">
        <f t="shared" si="6"/>
        <v>0.17859999999999998</v>
      </c>
      <c r="J16" s="1">
        <f t="shared" si="7"/>
        <v>0.19740000000000002</v>
      </c>
      <c r="K16" s="1">
        <f t="shared" si="8"/>
        <v>0.20680000000000001</v>
      </c>
      <c r="L16" s="1">
        <f t="shared" si="9"/>
        <v>0.22559999999999999</v>
      </c>
      <c r="M16" s="1">
        <f t="shared" si="10"/>
        <v>1.8800000000000001</v>
      </c>
    </row>
    <row r="17" spans="1:13">
      <c r="A17" t="s">
        <v>17</v>
      </c>
      <c r="B17" s="1">
        <v>0.19800000000000001</v>
      </c>
      <c r="C17" s="1">
        <f t="shared" si="0"/>
        <v>0.16830000000000001</v>
      </c>
      <c r="D17" s="1">
        <f t="shared" si="1"/>
        <v>0.18809999999999999</v>
      </c>
      <c r="E17" s="1">
        <f t="shared" si="2"/>
        <v>0.20790000000000003</v>
      </c>
      <c r="F17" s="1">
        <f t="shared" si="3"/>
        <v>0.22769999999999999</v>
      </c>
      <c r="G17" s="1">
        <f t="shared" si="4"/>
        <v>0.15840000000000001</v>
      </c>
      <c r="H17" s="1">
        <f t="shared" si="5"/>
        <v>0.17820000000000003</v>
      </c>
      <c r="I17" s="1">
        <f t="shared" si="6"/>
        <v>0.18809999999999999</v>
      </c>
      <c r="J17" s="1">
        <f t="shared" si="7"/>
        <v>0.20790000000000003</v>
      </c>
      <c r="K17" s="1">
        <f t="shared" si="8"/>
        <v>0.21780000000000002</v>
      </c>
      <c r="L17" s="1">
        <f t="shared" si="9"/>
        <v>0.23760000000000001</v>
      </c>
      <c r="M17" s="1">
        <f t="shared" si="10"/>
        <v>1.98</v>
      </c>
    </row>
    <row r="18" spans="1:13">
      <c r="A18" t="s">
        <v>18</v>
      </c>
      <c r="B18" s="1">
        <v>0.19800000000000001</v>
      </c>
      <c r="C18" s="1">
        <f t="shared" si="0"/>
        <v>0.16830000000000001</v>
      </c>
      <c r="D18" s="1">
        <f t="shared" si="1"/>
        <v>0.18809999999999999</v>
      </c>
      <c r="E18" s="1">
        <f t="shared" si="2"/>
        <v>0.20790000000000003</v>
      </c>
      <c r="F18" s="1">
        <f t="shared" si="3"/>
        <v>0.22769999999999999</v>
      </c>
      <c r="G18" s="1">
        <f t="shared" si="4"/>
        <v>0.15840000000000001</v>
      </c>
      <c r="H18" s="1">
        <f t="shared" si="5"/>
        <v>0.17820000000000003</v>
      </c>
      <c r="I18" s="1">
        <f t="shared" si="6"/>
        <v>0.18809999999999999</v>
      </c>
      <c r="J18" s="1">
        <f t="shared" si="7"/>
        <v>0.20790000000000003</v>
      </c>
      <c r="K18" s="1">
        <f t="shared" si="8"/>
        <v>0.21780000000000002</v>
      </c>
      <c r="L18" s="1">
        <f t="shared" si="9"/>
        <v>0.23760000000000001</v>
      </c>
      <c r="M18" s="1">
        <f t="shared" si="10"/>
        <v>1.98</v>
      </c>
    </row>
    <row r="19" spans="1:13">
      <c r="A19" t="s">
        <v>19</v>
      </c>
      <c r="B19" s="1">
        <v>0.19</v>
      </c>
      <c r="C19" s="1">
        <f t="shared" si="0"/>
        <v>0.1615</v>
      </c>
      <c r="D19" s="1">
        <f t="shared" si="1"/>
        <v>0.18049999999999999</v>
      </c>
      <c r="E19" s="1">
        <f t="shared" si="2"/>
        <v>0.19950000000000001</v>
      </c>
      <c r="F19" s="1">
        <f t="shared" si="3"/>
        <v>0.21849999999999997</v>
      </c>
      <c r="G19" s="1">
        <f t="shared" si="4"/>
        <v>0.15200000000000002</v>
      </c>
      <c r="H19" s="1">
        <f t="shared" si="5"/>
        <v>0.17100000000000001</v>
      </c>
      <c r="I19" s="1">
        <f t="shared" si="6"/>
        <v>0.18049999999999999</v>
      </c>
      <c r="J19" s="1">
        <f t="shared" si="7"/>
        <v>0.19950000000000001</v>
      </c>
      <c r="K19" s="1">
        <f t="shared" si="8"/>
        <v>0.20900000000000002</v>
      </c>
      <c r="L19" s="1">
        <f t="shared" si="9"/>
        <v>0.22799999999999998</v>
      </c>
      <c r="M19" s="1">
        <f t="shared" si="10"/>
        <v>1.9000000000000001</v>
      </c>
    </row>
    <row r="20" spans="1:13">
      <c r="A20" t="s">
        <v>20</v>
      </c>
      <c r="B20" s="1">
        <v>0.184</v>
      </c>
      <c r="C20" s="1">
        <f t="shared" si="0"/>
        <v>0.15639999999999998</v>
      </c>
      <c r="D20" s="1">
        <f t="shared" si="1"/>
        <v>0.17479999999999998</v>
      </c>
      <c r="E20" s="1">
        <f t="shared" si="2"/>
        <v>0.19320000000000001</v>
      </c>
      <c r="F20" s="1">
        <f t="shared" si="3"/>
        <v>0.21159999999999998</v>
      </c>
      <c r="G20" s="1">
        <f t="shared" si="4"/>
        <v>0.1472</v>
      </c>
      <c r="H20" s="1">
        <f t="shared" si="5"/>
        <v>0.1656</v>
      </c>
      <c r="I20" s="1">
        <f t="shared" si="6"/>
        <v>0.17479999999999998</v>
      </c>
      <c r="J20" s="1">
        <f t="shared" si="7"/>
        <v>0.19320000000000001</v>
      </c>
      <c r="K20" s="1">
        <f t="shared" si="8"/>
        <v>0.20240000000000002</v>
      </c>
      <c r="L20" s="1">
        <f t="shared" si="9"/>
        <v>0.2208</v>
      </c>
      <c r="M20" s="1">
        <f t="shared" si="10"/>
        <v>1.8400000000000003</v>
      </c>
    </row>
    <row r="21" spans="1:13">
      <c r="A21" t="s">
        <v>21</v>
      </c>
      <c r="B21" s="1">
        <v>0.188</v>
      </c>
      <c r="C21" s="1">
        <f t="shared" si="0"/>
        <v>0.1598</v>
      </c>
      <c r="D21" s="1">
        <f t="shared" si="1"/>
        <v>0.17859999999999998</v>
      </c>
      <c r="E21" s="1">
        <f t="shared" si="2"/>
        <v>0.19740000000000002</v>
      </c>
      <c r="F21" s="1">
        <f t="shared" si="3"/>
        <v>0.21619999999999998</v>
      </c>
      <c r="G21" s="1">
        <f t="shared" si="4"/>
        <v>0.15040000000000001</v>
      </c>
      <c r="H21" s="1">
        <f t="shared" si="5"/>
        <v>0.16920000000000002</v>
      </c>
      <c r="I21" s="1">
        <f t="shared" si="6"/>
        <v>0.17859999999999998</v>
      </c>
      <c r="J21" s="1">
        <f t="shared" si="7"/>
        <v>0.19740000000000002</v>
      </c>
      <c r="K21" s="1">
        <f t="shared" si="8"/>
        <v>0.20680000000000001</v>
      </c>
      <c r="L21" s="1">
        <f t="shared" si="9"/>
        <v>0.22559999999999999</v>
      </c>
      <c r="M21" s="1">
        <f t="shared" si="10"/>
        <v>1.8800000000000001</v>
      </c>
    </row>
    <row r="22" spans="1:13">
      <c r="A22" t="s">
        <v>22</v>
      </c>
      <c r="B22" s="1">
        <v>0.20699999999999999</v>
      </c>
      <c r="C22" s="1">
        <f t="shared" si="0"/>
        <v>0.17595</v>
      </c>
      <c r="D22" s="1">
        <f t="shared" si="1"/>
        <v>0.19664999999999999</v>
      </c>
      <c r="E22" s="1">
        <f t="shared" si="2"/>
        <v>0.21734999999999999</v>
      </c>
      <c r="F22" s="1">
        <f t="shared" si="3"/>
        <v>0.23804999999999996</v>
      </c>
      <c r="G22" s="1">
        <f t="shared" si="4"/>
        <v>0.1656</v>
      </c>
      <c r="H22" s="1">
        <f t="shared" si="5"/>
        <v>0.18629999999999999</v>
      </c>
      <c r="I22" s="1">
        <f t="shared" si="6"/>
        <v>0.19664999999999999</v>
      </c>
      <c r="J22" s="1">
        <f t="shared" si="7"/>
        <v>0.21734999999999999</v>
      </c>
      <c r="K22" s="1">
        <f t="shared" si="8"/>
        <v>0.22770000000000001</v>
      </c>
      <c r="L22" s="1">
        <f t="shared" si="9"/>
        <v>0.24839999999999998</v>
      </c>
      <c r="M22" s="1">
        <f t="shared" si="10"/>
        <v>2.0699999999999998</v>
      </c>
    </row>
    <row r="23" spans="1:13">
      <c r="A23" t="s">
        <v>23</v>
      </c>
      <c r="B23" s="1">
        <v>0.253</v>
      </c>
      <c r="C23" s="1">
        <f t="shared" si="0"/>
        <v>0.21504999999999999</v>
      </c>
      <c r="D23" s="1">
        <f t="shared" si="1"/>
        <v>0.24034999999999998</v>
      </c>
      <c r="E23" s="1">
        <f t="shared" si="2"/>
        <v>0.26565</v>
      </c>
      <c r="F23" s="1">
        <f t="shared" si="3"/>
        <v>0.29094999999999999</v>
      </c>
      <c r="G23" s="1">
        <f t="shared" si="4"/>
        <v>0.20240000000000002</v>
      </c>
      <c r="H23" s="1">
        <f t="shared" si="5"/>
        <v>0.22770000000000001</v>
      </c>
      <c r="I23" s="1">
        <f t="shared" si="6"/>
        <v>0.24034999999999998</v>
      </c>
      <c r="J23" s="1">
        <f t="shared" si="7"/>
        <v>0.26565</v>
      </c>
      <c r="K23" s="1">
        <f t="shared" si="8"/>
        <v>0.27830000000000005</v>
      </c>
      <c r="L23" s="1">
        <f t="shared" si="9"/>
        <v>0.30359999999999998</v>
      </c>
      <c r="M23" s="1">
        <f t="shared" si="10"/>
        <v>2.5299999999999998</v>
      </c>
    </row>
    <row r="24" spans="1:13">
      <c r="A24" t="s">
        <v>24</v>
      </c>
      <c r="B24" s="1">
        <v>0.27200000000000002</v>
      </c>
      <c r="C24" s="1">
        <f t="shared" si="0"/>
        <v>0.23120000000000002</v>
      </c>
      <c r="D24" s="1">
        <f t="shared" si="1"/>
        <v>0.25840000000000002</v>
      </c>
      <c r="E24" s="1">
        <f t="shared" si="2"/>
        <v>0.28560000000000002</v>
      </c>
      <c r="F24" s="1">
        <f t="shared" si="3"/>
        <v>0.31280000000000002</v>
      </c>
      <c r="G24" s="1">
        <f t="shared" si="4"/>
        <v>0.21760000000000002</v>
      </c>
      <c r="H24" s="1">
        <f t="shared" si="5"/>
        <v>0.24480000000000002</v>
      </c>
      <c r="I24" s="1">
        <f t="shared" si="6"/>
        <v>0.25840000000000002</v>
      </c>
      <c r="J24" s="1">
        <f t="shared" si="7"/>
        <v>0.28560000000000002</v>
      </c>
      <c r="K24" s="1">
        <f t="shared" si="8"/>
        <v>0.29920000000000002</v>
      </c>
      <c r="L24" s="1">
        <f t="shared" si="9"/>
        <v>0.32640000000000002</v>
      </c>
      <c r="M24" s="1">
        <f t="shared" si="10"/>
        <v>2.72</v>
      </c>
    </row>
    <row r="25" spans="1:13">
      <c r="A25" t="s">
        <v>25</v>
      </c>
      <c r="B25" s="1">
        <v>0.27400000000000002</v>
      </c>
      <c r="C25" s="1">
        <f t="shared" si="0"/>
        <v>0.23290000000000002</v>
      </c>
      <c r="D25" s="1">
        <f t="shared" si="1"/>
        <v>0.26030000000000003</v>
      </c>
      <c r="E25" s="1">
        <f t="shared" si="2"/>
        <v>0.28770000000000001</v>
      </c>
      <c r="F25" s="1">
        <f t="shared" si="3"/>
        <v>0.31509999999999999</v>
      </c>
      <c r="G25" s="1">
        <f t="shared" si="4"/>
        <v>0.21920000000000003</v>
      </c>
      <c r="H25" s="1">
        <f t="shared" si="5"/>
        <v>0.24660000000000001</v>
      </c>
      <c r="I25" s="1">
        <f t="shared" si="6"/>
        <v>0.26030000000000003</v>
      </c>
      <c r="J25" s="1">
        <f t="shared" si="7"/>
        <v>0.28770000000000001</v>
      </c>
      <c r="K25" s="1">
        <f t="shared" si="8"/>
        <v>0.30140000000000006</v>
      </c>
      <c r="L25" s="1">
        <f t="shared" si="9"/>
        <v>0.32880000000000004</v>
      </c>
      <c r="M25" s="1">
        <f t="shared" si="10"/>
        <v>2.74</v>
      </c>
    </row>
    <row r="26" spans="1:13">
      <c r="A26" t="s">
        <v>26</v>
      </c>
      <c r="B26" s="1">
        <v>0.25</v>
      </c>
      <c r="C26" s="1">
        <f t="shared" si="0"/>
        <v>0.21249999999999999</v>
      </c>
      <c r="D26" s="1">
        <f t="shared" si="1"/>
        <v>0.23749999999999999</v>
      </c>
      <c r="E26" s="1">
        <f t="shared" si="2"/>
        <v>0.26250000000000001</v>
      </c>
      <c r="F26" s="1">
        <f t="shared" si="3"/>
        <v>0.28749999999999998</v>
      </c>
      <c r="G26" s="1">
        <f t="shared" si="4"/>
        <v>0.2</v>
      </c>
      <c r="H26" s="1">
        <f t="shared" si="5"/>
        <v>0.22500000000000001</v>
      </c>
      <c r="I26" s="1">
        <f t="shared" si="6"/>
        <v>0.23749999999999999</v>
      </c>
      <c r="J26" s="1">
        <f t="shared" si="7"/>
        <v>0.26250000000000001</v>
      </c>
      <c r="K26" s="1">
        <f t="shared" si="8"/>
        <v>0.27500000000000002</v>
      </c>
      <c r="L26" s="1">
        <f t="shared" si="9"/>
        <v>0.3</v>
      </c>
      <c r="M26" s="1">
        <f t="shared" si="10"/>
        <v>2.5</v>
      </c>
    </row>
    <row r="27" spans="1:13">
      <c r="A27" t="s">
        <v>27</v>
      </c>
      <c r="B27" s="1">
        <v>0.20899999999999999</v>
      </c>
      <c r="C27" s="1">
        <f t="shared" si="0"/>
        <v>0.17764999999999997</v>
      </c>
      <c r="D27" s="1">
        <f t="shared" si="1"/>
        <v>0.19854999999999998</v>
      </c>
      <c r="E27" s="1">
        <f t="shared" si="2"/>
        <v>0.21945000000000001</v>
      </c>
      <c r="F27" s="1">
        <f t="shared" si="3"/>
        <v>0.24034999999999998</v>
      </c>
      <c r="G27" s="1">
        <f t="shared" si="4"/>
        <v>0.16720000000000002</v>
      </c>
      <c r="H27" s="1">
        <f t="shared" si="5"/>
        <v>0.18809999999999999</v>
      </c>
      <c r="I27" s="1">
        <f t="shared" si="6"/>
        <v>0.19854999999999998</v>
      </c>
      <c r="J27" s="1">
        <f t="shared" si="7"/>
        <v>0.21945000000000001</v>
      </c>
      <c r="K27" s="1">
        <f t="shared" si="8"/>
        <v>0.22990000000000002</v>
      </c>
      <c r="L27" s="1">
        <f t="shared" si="9"/>
        <v>0.25079999999999997</v>
      </c>
      <c r="M27" s="1">
        <f t="shared" si="10"/>
        <v>2.09</v>
      </c>
    </row>
    <row r="28" spans="1:1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>
      <c r="A29" s="6" t="s">
        <v>28</v>
      </c>
      <c r="B29" s="7">
        <f t="shared" ref="B29:M29" si="11">SUM(B4:B27)</f>
        <v>4.3639999999999999</v>
      </c>
      <c r="C29" s="7">
        <f t="shared" si="11"/>
        <v>3.7093999999999996</v>
      </c>
      <c r="D29" s="7">
        <f t="shared" si="11"/>
        <v>4.1457999999999986</v>
      </c>
      <c r="E29" s="7">
        <f t="shared" si="11"/>
        <v>4.5822000000000003</v>
      </c>
      <c r="F29" s="7">
        <f t="shared" si="11"/>
        <v>5.0186000000000002</v>
      </c>
      <c r="G29" s="7">
        <f t="shared" si="11"/>
        <v>3.4912000000000001</v>
      </c>
      <c r="H29" s="7">
        <f t="shared" si="11"/>
        <v>3.9276000000000004</v>
      </c>
      <c r="I29" s="7">
        <f t="shared" si="11"/>
        <v>4.1457999999999986</v>
      </c>
      <c r="J29" s="7">
        <f t="shared" si="11"/>
        <v>4.5822000000000003</v>
      </c>
      <c r="K29" s="7">
        <f t="shared" si="11"/>
        <v>4.8003999999999998</v>
      </c>
      <c r="L29" s="7">
        <f t="shared" si="11"/>
        <v>5.2368000000000006</v>
      </c>
      <c r="M29" s="7">
        <f t="shared" si="11"/>
        <v>43.64</v>
      </c>
    </row>
  </sheetData>
  <mergeCells count="1">
    <mergeCell ref="A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29"/>
  <sheetViews>
    <sheetView topLeftCell="A13" zoomScale="84" workbookViewId="0">
      <selection activeCell="D15" sqref="D15"/>
    </sheetView>
  </sheetViews>
  <sheetFormatPr defaultRowHeight="14.5"/>
  <cols>
    <col min="1" max="1" width="16.7265625" customWidth="1"/>
    <col min="2" max="2" width="16.36328125" customWidth="1"/>
    <col min="3" max="22" width="14" customWidth="1"/>
    <col min="23" max="23" width="26.6328125" customWidth="1"/>
  </cols>
  <sheetData>
    <row r="1" spans="1:23" ht="18.5">
      <c r="A1" s="10" t="s">
        <v>71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3" spans="1:23" ht="16.5">
      <c r="A3" s="5" t="s">
        <v>0</v>
      </c>
      <c r="B3" s="8" t="s">
        <v>87</v>
      </c>
      <c r="C3" s="5" t="s">
        <v>47</v>
      </c>
      <c r="D3" s="5" t="s">
        <v>49</v>
      </c>
      <c r="E3" s="5" t="s">
        <v>50</v>
      </c>
      <c r="F3" s="5" t="s">
        <v>51</v>
      </c>
      <c r="G3" s="5" t="s">
        <v>54</v>
      </c>
      <c r="H3" s="5" t="s">
        <v>52</v>
      </c>
      <c r="I3" s="5" t="s">
        <v>55</v>
      </c>
      <c r="J3" s="5" t="s">
        <v>56</v>
      </c>
      <c r="K3" s="5" t="s">
        <v>57</v>
      </c>
      <c r="L3" s="5" t="s">
        <v>58</v>
      </c>
      <c r="M3" s="5" t="s">
        <v>59</v>
      </c>
      <c r="N3" s="5" t="s">
        <v>60</v>
      </c>
      <c r="O3" s="5" t="s">
        <v>61</v>
      </c>
      <c r="P3" s="5" t="s">
        <v>62</v>
      </c>
      <c r="Q3" s="5" t="s">
        <v>63</v>
      </c>
      <c r="R3" s="5" t="s">
        <v>64</v>
      </c>
      <c r="S3" s="5" t="s">
        <v>65</v>
      </c>
      <c r="T3" s="5" t="s">
        <v>66</v>
      </c>
      <c r="U3" s="5" t="s">
        <v>67</v>
      </c>
      <c r="V3" s="5" t="s">
        <v>68</v>
      </c>
      <c r="W3" s="5" t="s">
        <v>70</v>
      </c>
    </row>
    <row r="4" spans="1:23">
      <c r="A4" t="s">
        <v>4</v>
      </c>
      <c r="B4" s="1">
        <v>0.16900000000000001</v>
      </c>
      <c r="C4" s="1">
        <f t="shared" ref="C4:C27" si="0">$B4*0.85</f>
        <v>0.14365</v>
      </c>
      <c r="D4" s="1">
        <f t="shared" ref="D4:D27" si="1">$B4*0.95</f>
        <v>0.16055</v>
      </c>
      <c r="E4" s="1">
        <f t="shared" ref="E4:E27" si="2">$B4*1.05</f>
        <v>0.17745000000000002</v>
      </c>
      <c r="F4" s="1">
        <f t="shared" ref="F4:F27" si="3">$B4*1.15</f>
        <v>0.19434999999999999</v>
      </c>
      <c r="G4" s="1">
        <f t="shared" ref="G4:G27" si="4">$B4*1</f>
        <v>0.16900000000000001</v>
      </c>
      <c r="H4" s="1">
        <f t="shared" ref="H4:H27" si="5">$B4*0.8</f>
        <v>0.13520000000000001</v>
      </c>
      <c r="I4" s="1">
        <f t="shared" ref="I4:I27" si="6">$B4*0.9</f>
        <v>0.15210000000000001</v>
      </c>
      <c r="J4" s="1">
        <f t="shared" ref="J4:J27" si="7">$B4*0.95</f>
        <v>0.16055</v>
      </c>
      <c r="K4" s="1">
        <f t="shared" ref="K4:K27" si="8">$B4*1.05</f>
        <v>0.17745000000000002</v>
      </c>
      <c r="L4" s="1">
        <f t="shared" ref="L4:L27" si="9">$B4*1.1</f>
        <v>0.18590000000000004</v>
      </c>
      <c r="M4" s="1">
        <f t="shared" ref="M4:M27" si="10">$B4*1.2</f>
        <v>0.20280000000000001</v>
      </c>
      <c r="N4" s="1">
        <f t="shared" ref="N4:N27" si="11">$B4*0.8</f>
        <v>0.13520000000000001</v>
      </c>
      <c r="O4" s="1">
        <f t="shared" ref="O4:O27" si="12">$B4*0.9</f>
        <v>0.15210000000000001</v>
      </c>
      <c r="P4" s="1">
        <f t="shared" ref="P4:P27" si="13">$B4*0.95</f>
        <v>0.16055</v>
      </c>
      <c r="Q4" s="1">
        <f t="shared" ref="Q4:Q27" si="14">$B4*1.05</f>
        <v>0.17745000000000002</v>
      </c>
      <c r="R4" s="1">
        <f t="shared" ref="R4:R27" si="15">$B4*1.1</f>
        <v>0.18590000000000004</v>
      </c>
      <c r="S4" s="1">
        <f t="shared" ref="S4:S27" si="16">$B4*1.2</f>
        <v>0.20280000000000001</v>
      </c>
      <c r="T4" s="1">
        <f t="shared" ref="T4:T27" si="17">$B4*0.9</f>
        <v>0.15210000000000001</v>
      </c>
      <c r="U4" s="1">
        <f t="shared" ref="U4:U27" si="18">$B4*1</f>
        <v>0.16900000000000001</v>
      </c>
      <c r="V4" s="1">
        <f t="shared" ref="V4:V27" si="19">$B4*1.1</f>
        <v>0.18590000000000004</v>
      </c>
      <c r="W4" s="1">
        <f t="shared" ref="W4:W27" si="20">SUM(C4:V4)</f>
        <v>3.3800000000000003</v>
      </c>
    </row>
    <row r="5" spans="1:23">
      <c r="A5" t="s">
        <v>5</v>
      </c>
      <c r="B5" s="1">
        <v>0.14099999999999999</v>
      </c>
      <c r="C5" s="1">
        <f t="shared" si="0"/>
        <v>0.11984999999999998</v>
      </c>
      <c r="D5" s="1">
        <f t="shared" si="1"/>
        <v>0.13394999999999999</v>
      </c>
      <c r="E5" s="1">
        <f t="shared" si="2"/>
        <v>0.14804999999999999</v>
      </c>
      <c r="F5" s="1">
        <f t="shared" si="3"/>
        <v>0.16214999999999996</v>
      </c>
      <c r="G5" s="1">
        <f t="shared" si="4"/>
        <v>0.14099999999999999</v>
      </c>
      <c r="H5" s="1">
        <f t="shared" si="5"/>
        <v>0.1128</v>
      </c>
      <c r="I5" s="1">
        <f t="shared" si="6"/>
        <v>0.12689999999999999</v>
      </c>
      <c r="J5" s="1">
        <f t="shared" si="7"/>
        <v>0.13394999999999999</v>
      </c>
      <c r="K5" s="1">
        <f t="shared" si="8"/>
        <v>0.14804999999999999</v>
      </c>
      <c r="L5" s="1">
        <f t="shared" si="9"/>
        <v>0.15509999999999999</v>
      </c>
      <c r="M5" s="1">
        <f t="shared" si="10"/>
        <v>0.16919999999999999</v>
      </c>
      <c r="N5" s="1">
        <f t="shared" si="11"/>
        <v>0.1128</v>
      </c>
      <c r="O5" s="1">
        <f t="shared" si="12"/>
        <v>0.12689999999999999</v>
      </c>
      <c r="P5" s="1">
        <f t="shared" si="13"/>
        <v>0.13394999999999999</v>
      </c>
      <c r="Q5" s="1">
        <f t="shared" si="14"/>
        <v>0.14804999999999999</v>
      </c>
      <c r="R5" s="1">
        <f t="shared" si="15"/>
        <v>0.15509999999999999</v>
      </c>
      <c r="S5" s="1">
        <f t="shared" si="16"/>
        <v>0.16919999999999999</v>
      </c>
      <c r="T5" s="1">
        <f t="shared" si="17"/>
        <v>0.12689999999999999</v>
      </c>
      <c r="U5" s="1">
        <f t="shared" si="18"/>
        <v>0.14099999999999999</v>
      </c>
      <c r="V5" s="1">
        <f t="shared" si="19"/>
        <v>0.15509999999999999</v>
      </c>
      <c r="W5" s="1">
        <f t="shared" si="20"/>
        <v>2.82</v>
      </c>
    </row>
    <row r="6" spans="1:23">
      <c r="A6" t="s">
        <v>6</v>
      </c>
      <c r="B6" s="1">
        <v>0.126</v>
      </c>
      <c r="C6" s="1">
        <f t="shared" si="0"/>
        <v>0.1071</v>
      </c>
      <c r="D6" s="1">
        <f t="shared" si="1"/>
        <v>0.1197</v>
      </c>
      <c r="E6" s="1">
        <f t="shared" si="2"/>
        <v>0.1323</v>
      </c>
      <c r="F6" s="1">
        <f t="shared" si="3"/>
        <v>0.1449</v>
      </c>
      <c r="G6" s="1">
        <f t="shared" si="4"/>
        <v>0.126</v>
      </c>
      <c r="H6" s="1">
        <f t="shared" si="5"/>
        <v>0.1008</v>
      </c>
      <c r="I6" s="1">
        <f t="shared" si="6"/>
        <v>0.1134</v>
      </c>
      <c r="J6" s="1">
        <f t="shared" si="7"/>
        <v>0.1197</v>
      </c>
      <c r="K6" s="1">
        <f t="shared" si="8"/>
        <v>0.1323</v>
      </c>
      <c r="L6" s="1">
        <f t="shared" si="9"/>
        <v>0.1386</v>
      </c>
      <c r="M6" s="1">
        <f t="shared" si="10"/>
        <v>0.1512</v>
      </c>
      <c r="N6" s="1">
        <f t="shared" si="11"/>
        <v>0.1008</v>
      </c>
      <c r="O6" s="1">
        <f t="shared" si="12"/>
        <v>0.1134</v>
      </c>
      <c r="P6" s="1">
        <f t="shared" si="13"/>
        <v>0.1197</v>
      </c>
      <c r="Q6" s="1">
        <f t="shared" si="14"/>
        <v>0.1323</v>
      </c>
      <c r="R6" s="1">
        <f t="shared" si="15"/>
        <v>0.1386</v>
      </c>
      <c r="S6" s="1">
        <f t="shared" si="16"/>
        <v>0.1512</v>
      </c>
      <c r="T6" s="1">
        <f t="shared" si="17"/>
        <v>0.1134</v>
      </c>
      <c r="U6" s="1">
        <f t="shared" si="18"/>
        <v>0.126</v>
      </c>
      <c r="V6" s="1">
        <f t="shared" si="19"/>
        <v>0.1386</v>
      </c>
      <c r="W6" s="1">
        <f t="shared" si="20"/>
        <v>2.52</v>
      </c>
    </row>
    <row r="7" spans="1:23">
      <c r="A7" t="s">
        <v>7</v>
      </c>
      <c r="B7" s="1">
        <v>0.11899999999999999</v>
      </c>
      <c r="C7" s="1">
        <f t="shared" si="0"/>
        <v>0.10114999999999999</v>
      </c>
      <c r="D7" s="1">
        <f t="shared" si="1"/>
        <v>0.11304999999999998</v>
      </c>
      <c r="E7" s="1">
        <f t="shared" si="2"/>
        <v>0.12495000000000001</v>
      </c>
      <c r="F7" s="1">
        <f t="shared" si="3"/>
        <v>0.13684999999999997</v>
      </c>
      <c r="G7" s="1">
        <f t="shared" si="4"/>
        <v>0.11899999999999999</v>
      </c>
      <c r="H7" s="1">
        <f t="shared" si="5"/>
        <v>9.5200000000000007E-2</v>
      </c>
      <c r="I7" s="1">
        <f t="shared" si="6"/>
        <v>0.1071</v>
      </c>
      <c r="J7" s="1">
        <f t="shared" si="7"/>
        <v>0.11304999999999998</v>
      </c>
      <c r="K7" s="1">
        <f t="shared" si="8"/>
        <v>0.12495000000000001</v>
      </c>
      <c r="L7" s="1">
        <f t="shared" si="9"/>
        <v>0.13090000000000002</v>
      </c>
      <c r="M7" s="1">
        <f t="shared" si="10"/>
        <v>0.14279999999999998</v>
      </c>
      <c r="N7" s="1">
        <f t="shared" si="11"/>
        <v>9.5200000000000007E-2</v>
      </c>
      <c r="O7" s="1">
        <f t="shared" si="12"/>
        <v>0.1071</v>
      </c>
      <c r="P7" s="1">
        <f t="shared" si="13"/>
        <v>0.11304999999999998</v>
      </c>
      <c r="Q7" s="1">
        <f t="shared" si="14"/>
        <v>0.12495000000000001</v>
      </c>
      <c r="R7" s="1">
        <f t="shared" si="15"/>
        <v>0.13090000000000002</v>
      </c>
      <c r="S7" s="1">
        <f t="shared" si="16"/>
        <v>0.14279999999999998</v>
      </c>
      <c r="T7" s="1">
        <f t="shared" si="17"/>
        <v>0.1071</v>
      </c>
      <c r="U7" s="1">
        <f t="shared" si="18"/>
        <v>0.11899999999999999</v>
      </c>
      <c r="V7" s="1">
        <f t="shared" si="19"/>
        <v>0.13090000000000002</v>
      </c>
      <c r="W7" s="1">
        <f t="shared" si="20"/>
        <v>2.3799999999999994</v>
      </c>
    </row>
    <row r="8" spans="1:23">
      <c r="A8" t="s">
        <v>8</v>
      </c>
      <c r="B8" s="1">
        <v>0.11600000000000001</v>
      </c>
      <c r="C8" s="1">
        <f t="shared" si="0"/>
        <v>9.8600000000000007E-2</v>
      </c>
      <c r="D8" s="1">
        <f t="shared" si="1"/>
        <v>0.11020000000000001</v>
      </c>
      <c r="E8" s="1">
        <f t="shared" si="2"/>
        <v>0.12180000000000001</v>
      </c>
      <c r="F8" s="1">
        <f t="shared" si="3"/>
        <v>0.13339999999999999</v>
      </c>
      <c r="G8" s="1">
        <f t="shared" si="4"/>
        <v>0.11600000000000001</v>
      </c>
      <c r="H8" s="1">
        <f t="shared" si="5"/>
        <v>9.2800000000000007E-2</v>
      </c>
      <c r="I8" s="1">
        <f t="shared" si="6"/>
        <v>0.10440000000000001</v>
      </c>
      <c r="J8" s="1">
        <f t="shared" si="7"/>
        <v>0.11020000000000001</v>
      </c>
      <c r="K8" s="1">
        <f t="shared" si="8"/>
        <v>0.12180000000000001</v>
      </c>
      <c r="L8" s="1">
        <f t="shared" si="9"/>
        <v>0.12760000000000002</v>
      </c>
      <c r="M8" s="1">
        <f t="shared" si="10"/>
        <v>0.13919999999999999</v>
      </c>
      <c r="N8" s="1">
        <f t="shared" si="11"/>
        <v>9.2800000000000007E-2</v>
      </c>
      <c r="O8" s="1">
        <f t="shared" si="12"/>
        <v>0.10440000000000001</v>
      </c>
      <c r="P8" s="1">
        <f t="shared" si="13"/>
        <v>0.11020000000000001</v>
      </c>
      <c r="Q8" s="1">
        <f t="shared" si="14"/>
        <v>0.12180000000000001</v>
      </c>
      <c r="R8" s="1">
        <f t="shared" si="15"/>
        <v>0.12760000000000002</v>
      </c>
      <c r="S8" s="1">
        <f t="shared" si="16"/>
        <v>0.13919999999999999</v>
      </c>
      <c r="T8" s="1">
        <f t="shared" si="17"/>
        <v>0.10440000000000001</v>
      </c>
      <c r="U8" s="1">
        <f t="shared" si="18"/>
        <v>0.11600000000000001</v>
      </c>
      <c r="V8" s="1">
        <f t="shared" si="19"/>
        <v>0.12760000000000002</v>
      </c>
      <c r="W8" s="1">
        <f t="shared" si="20"/>
        <v>2.3199999999999998</v>
      </c>
    </row>
    <row r="9" spans="1:23">
      <c r="A9" t="s">
        <v>9</v>
      </c>
      <c r="B9" s="1">
        <v>0.11899999999999999</v>
      </c>
      <c r="C9" s="1">
        <f t="shared" si="0"/>
        <v>0.10114999999999999</v>
      </c>
      <c r="D9" s="1">
        <f t="shared" si="1"/>
        <v>0.11304999999999998</v>
      </c>
      <c r="E9" s="1">
        <f t="shared" si="2"/>
        <v>0.12495000000000001</v>
      </c>
      <c r="F9" s="1">
        <f t="shared" si="3"/>
        <v>0.13684999999999997</v>
      </c>
      <c r="G9" s="1">
        <f t="shared" si="4"/>
        <v>0.11899999999999999</v>
      </c>
      <c r="H9" s="1">
        <f t="shared" si="5"/>
        <v>9.5200000000000007E-2</v>
      </c>
      <c r="I9" s="1">
        <f t="shared" si="6"/>
        <v>0.1071</v>
      </c>
      <c r="J9" s="1">
        <f t="shared" si="7"/>
        <v>0.11304999999999998</v>
      </c>
      <c r="K9" s="1">
        <f t="shared" si="8"/>
        <v>0.12495000000000001</v>
      </c>
      <c r="L9" s="1">
        <f t="shared" si="9"/>
        <v>0.13090000000000002</v>
      </c>
      <c r="M9" s="1">
        <f t="shared" si="10"/>
        <v>0.14279999999999998</v>
      </c>
      <c r="N9" s="1">
        <f t="shared" si="11"/>
        <v>9.5200000000000007E-2</v>
      </c>
      <c r="O9" s="1">
        <f t="shared" si="12"/>
        <v>0.1071</v>
      </c>
      <c r="P9" s="1">
        <f t="shared" si="13"/>
        <v>0.11304999999999998</v>
      </c>
      <c r="Q9" s="1">
        <f t="shared" si="14"/>
        <v>0.12495000000000001</v>
      </c>
      <c r="R9" s="1">
        <f t="shared" si="15"/>
        <v>0.13090000000000002</v>
      </c>
      <c r="S9" s="1">
        <f t="shared" si="16"/>
        <v>0.14279999999999998</v>
      </c>
      <c r="T9" s="1">
        <f t="shared" si="17"/>
        <v>0.1071</v>
      </c>
      <c r="U9" s="1">
        <f t="shared" si="18"/>
        <v>0.11899999999999999</v>
      </c>
      <c r="V9" s="1">
        <f t="shared" si="19"/>
        <v>0.13090000000000002</v>
      </c>
      <c r="W9" s="1">
        <f t="shared" si="20"/>
        <v>2.3799999999999994</v>
      </c>
    </row>
    <row r="10" spans="1:23">
      <c r="A10" t="s">
        <v>10</v>
      </c>
      <c r="B10" s="1">
        <v>0.13400000000000001</v>
      </c>
      <c r="C10" s="1">
        <f t="shared" si="0"/>
        <v>0.1139</v>
      </c>
      <c r="D10" s="1">
        <f t="shared" si="1"/>
        <v>0.1273</v>
      </c>
      <c r="E10" s="1">
        <f t="shared" si="2"/>
        <v>0.14070000000000002</v>
      </c>
      <c r="F10" s="1">
        <f t="shared" si="3"/>
        <v>0.15409999999999999</v>
      </c>
      <c r="G10" s="1">
        <f t="shared" si="4"/>
        <v>0.13400000000000001</v>
      </c>
      <c r="H10" s="1">
        <f t="shared" si="5"/>
        <v>0.10720000000000002</v>
      </c>
      <c r="I10" s="1">
        <f t="shared" si="6"/>
        <v>0.12060000000000001</v>
      </c>
      <c r="J10" s="1">
        <f t="shared" si="7"/>
        <v>0.1273</v>
      </c>
      <c r="K10" s="1">
        <f t="shared" si="8"/>
        <v>0.14070000000000002</v>
      </c>
      <c r="L10" s="1">
        <f t="shared" si="9"/>
        <v>0.14740000000000003</v>
      </c>
      <c r="M10" s="1">
        <f t="shared" si="10"/>
        <v>0.1608</v>
      </c>
      <c r="N10" s="1">
        <f t="shared" si="11"/>
        <v>0.10720000000000002</v>
      </c>
      <c r="O10" s="1">
        <f t="shared" si="12"/>
        <v>0.12060000000000001</v>
      </c>
      <c r="P10" s="1">
        <f t="shared" si="13"/>
        <v>0.1273</v>
      </c>
      <c r="Q10" s="1">
        <f t="shared" si="14"/>
        <v>0.14070000000000002</v>
      </c>
      <c r="R10" s="1">
        <f t="shared" si="15"/>
        <v>0.14740000000000003</v>
      </c>
      <c r="S10" s="1">
        <f t="shared" si="16"/>
        <v>0.1608</v>
      </c>
      <c r="T10" s="1">
        <f t="shared" si="17"/>
        <v>0.12060000000000001</v>
      </c>
      <c r="U10" s="1">
        <f t="shared" si="18"/>
        <v>0.13400000000000001</v>
      </c>
      <c r="V10" s="1">
        <f t="shared" si="19"/>
        <v>0.14740000000000003</v>
      </c>
      <c r="W10" s="1">
        <f t="shared" si="20"/>
        <v>2.6800000000000006</v>
      </c>
    </row>
    <row r="11" spans="1:23">
      <c r="A11" t="s">
        <v>11</v>
      </c>
      <c r="B11" s="1">
        <v>0.16</v>
      </c>
      <c r="C11" s="1">
        <f t="shared" si="0"/>
        <v>0.13600000000000001</v>
      </c>
      <c r="D11" s="1">
        <f t="shared" si="1"/>
        <v>0.152</v>
      </c>
      <c r="E11" s="1">
        <f t="shared" si="2"/>
        <v>0.16800000000000001</v>
      </c>
      <c r="F11" s="1">
        <f t="shared" si="3"/>
        <v>0.184</v>
      </c>
      <c r="G11" s="1">
        <f t="shared" si="4"/>
        <v>0.16</v>
      </c>
      <c r="H11" s="1">
        <f t="shared" si="5"/>
        <v>0.128</v>
      </c>
      <c r="I11" s="1">
        <f t="shared" si="6"/>
        <v>0.14400000000000002</v>
      </c>
      <c r="J11" s="1">
        <f t="shared" si="7"/>
        <v>0.152</v>
      </c>
      <c r="K11" s="1">
        <f t="shared" si="8"/>
        <v>0.16800000000000001</v>
      </c>
      <c r="L11" s="1">
        <f t="shared" si="9"/>
        <v>0.17600000000000002</v>
      </c>
      <c r="M11" s="1">
        <f t="shared" si="10"/>
        <v>0.192</v>
      </c>
      <c r="N11" s="1">
        <f t="shared" si="11"/>
        <v>0.128</v>
      </c>
      <c r="O11" s="1">
        <f t="shared" si="12"/>
        <v>0.14400000000000002</v>
      </c>
      <c r="P11" s="1">
        <f t="shared" si="13"/>
        <v>0.152</v>
      </c>
      <c r="Q11" s="1">
        <f t="shared" si="14"/>
        <v>0.16800000000000001</v>
      </c>
      <c r="R11" s="1">
        <f t="shared" si="15"/>
        <v>0.17600000000000002</v>
      </c>
      <c r="S11" s="1">
        <f t="shared" si="16"/>
        <v>0.192</v>
      </c>
      <c r="T11" s="1">
        <f t="shared" si="17"/>
        <v>0.14400000000000002</v>
      </c>
      <c r="U11" s="1">
        <f t="shared" si="18"/>
        <v>0.16</v>
      </c>
      <c r="V11" s="1">
        <f t="shared" si="19"/>
        <v>0.17600000000000002</v>
      </c>
      <c r="W11" s="1">
        <f t="shared" si="20"/>
        <v>3.2000000000000011</v>
      </c>
    </row>
    <row r="12" spans="1:23">
      <c r="A12" t="s">
        <v>12</v>
      </c>
      <c r="B12" s="1">
        <v>0.16700000000000001</v>
      </c>
      <c r="C12" s="1">
        <f t="shared" si="0"/>
        <v>0.14194999999999999</v>
      </c>
      <c r="D12" s="1">
        <f t="shared" si="1"/>
        <v>0.15865000000000001</v>
      </c>
      <c r="E12" s="1">
        <f t="shared" si="2"/>
        <v>0.17535000000000001</v>
      </c>
      <c r="F12" s="1">
        <f t="shared" si="3"/>
        <v>0.19205</v>
      </c>
      <c r="G12" s="1">
        <f t="shared" si="4"/>
        <v>0.16700000000000001</v>
      </c>
      <c r="H12" s="1">
        <f t="shared" si="5"/>
        <v>0.13360000000000002</v>
      </c>
      <c r="I12" s="1">
        <f t="shared" si="6"/>
        <v>0.15030000000000002</v>
      </c>
      <c r="J12" s="1">
        <f t="shared" si="7"/>
        <v>0.15865000000000001</v>
      </c>
      <c r="K12" s="1">
        <f t="shared" si="8"/>
        <v>0.17535000000000001</v>
      </c>
      <c r="L12" s="1">
        <f t="shared" si="9"/>
        <v>0.18370000000000003</v>
      </c>
      <c r="M12" s="1">
        <f t="shared" si="10"/>
        <v>0.20039999999999999</v>
      </c>
      <c r="N12" s="1">
        <f t="shared" si="11"/>
        <v>0.13360000000000002</v>
      </c>
      <c r="O12" s="1">
        <f t="shared" si="12"/>
        <v>0.15030000000000002</v>
      </c>
      <c r="P12" s="1">
        <f t="shared" si="13"/>
        <v>0.15865000000000001</v>
      </c>
      <c r="Q12" s="1">
        <f t="shared" si="14"/>
        <v>0.17535000000000001</v>
      </c>
      <c r="R12" s="1">
        <f t="shared" si="15"/>
        <v>0.18370000000000003</v>
      </c>
      <c r="S12" s="1">
        <f t="shared" si="16"/>
        <v>0.20039999999999999</v>
      </c>
      <c r="T12" s="1">
        <f t="shared" si="17"/>
        <v>0.15030000000000002</v>
      </c>
      <c r="U12" s="1">
        <f t="shared" si="18"/>
        <v>0.16700000000000001</v>
      </c>
      <c r="V12" s="1">
        <f t="shared" si="19"/>
        <v>0.18370000000000003</v>
      </c>
      <c r="W12" s="1">
        <f t="shared" si="20"/>
        <v>3.34</v>
      </c>
    </row>
    <row r="13" spans="1:23">
      <c r="A13" t="s">
        <v>13</v>
      </c>
      <c r="B13" s="1">
        <v>0.16500000000000001</v>
      </c>
      <c r="C13" s="1">
        <f t="shared" si="0"/>
        <v>0.14025000000000001</v>
      </c>
      <c r="D13" s="1">
        <f t="shared" si="1"/>
        <v>0.15675</v>
      </c>
      <c r="E13" s="1">
        <f t="shared" si="2"/>
        <v>0.17325000000000002</v>
      </c>
      <c r="F13" s="1">
        <f t="shared" si="3"/>
        <v>0.18975</v>
      </c>
      <c r="G13" s="1">
        <f t="shared" si="4"/>
        <v>0.16500000000000001</v>
      </c>
      <c r="H13" s="1">
        <f t="shared" si="5"/>
        <v>0.13200000000000001</v>
      </c>
      <c r="I13" s="1">
        <f t="shared" si="6"/>
        <v>0.14850000000000002</v>
      </c>
      <c r="J13" s="1">
        <f t="shared" si="7"/>
        <v>0.15675</v>
      </c>
      <c r="K13" s="1">
        <f t="shared" si="8"/>
        <v>0.17325000000000002</v>
      </c>
      <c r="L13" s="1">
        <f t="shared" si="9"/>
        <v>0.18150000000000002</v>
      </c>
      <c r="M13" s="1">
        <f t="shared" si="10"/>
        <v>0.19800000000000001</v>
      </c>
      <c r="N13" s="1">
        <f t="shared" si="11"/>
        <v>0.13200000000000001</v>
      </c>
      <c r="O13" s="1">
        <f t="shared" si="12"/>
        <v>0.14850000000000002</v>
      </c>
      <c r="P13" s="1">
        <f t="shared" si="13"/>
        <v>0.15675</v>
      </c>
      <c r="Q13" s="1">
        <f t="shared" si="14"/>
        <v>0.17325000000000002</v>
      </c>
      <c r="R13" s="1">
        <f t="shared" si="15"/>
        <v>0.18150000000000002</v>
      </c>
      <c r="S13" s="1">
        <f t="shared" si="16"/>
        <v>0.19800000000000001</v>
      </c>
      <c r="T13" s="1">
        <f t="shared" si="17"/>
        <v>0.14850000000000002</v>
      </c>
      <c r="U13" s="1">
        <f t="shared" si="18"/>
        <v>0.16500000000000001</v>
      </c>
      <c r="V13" s="1">
        <f t="shared" si="19"/>
        <v>0.18150000000000002</v>
      </c>
      <c r="W13" s="1">
        <f t="shared" si="20"/>
        <v>3.3000000000000003</v>
      </c>
    </row>
    <row r="14" spans="1:23">
      <c r="A14" t="s">
        <v>14</v>
      </c>
      <c r="B14" s="1">
        <v>0.16500000000000001</v>
      </c>
      <c r="C14" s="1">
        <f t="shared" si="0"/>
        <v>0.14025000000000001</v>
      </c>
      <c r="D14" s="1">
        <f t="shared" si="1"/>
        <v>0.15675</v>
      </c>
      <c r="E14" s="1">
        <f t="shared" si="2"/>
        <v>0.17325000000000002</v>
      </c>
      <c r="F14" s="1">
        <f t="shared" si="3"/>
        <v>0.18975</v>
      </c>
      <c r="G14" s="1">
        <f t="shared" si="4"/>
        <v>0.16500000000000001</v>
      </c>
      <c r="H14" s="1">
        <f t="shared" si="5"/>
        <v>0.13200000000000001</v>
      </c>
      <c r="I14" s="1">
        <f t="shared" si="6"/>
        <v>0.14850000000000002</v>
      </c>
      <c r="J14" s="1">
        <f t="shared" si="7"/>
        <v>0.15675</v>
      </c>
      <c r="K14" s="1">
        <f t="shared" si="8"/>
        <v>0.17325000000000002</v>
      </c>
      <c r="L14" s="1">
        <f t="shared" si="9"/>
        <v>0.18150000000000002</v>
      </c>
      <c r="M14" s="1">
        <f t="shared" si="10"/>
        <v>0.19800000000000001</v>
      </c>
      <c r="N14" s="1">
        <f t="shared" si="11"/>
        <v>0.13200000000000001</v>
      </c>
      <c r="O14" s="1">
        <f t="shared" si="12"/>
        <v>0.14850000000000002</v>
      </c>
      <c r="P14" s="1">
        <f t="shared" si="13"/>
        <v>0.15675</v>
      </c>
      <c r="Q14" s="1">
        <f t="shared" si="14"/>
        <v>0.17325000000000002</v>
      </c>
      <c r="R14" s="1">
        <f t="shared" si="15"/>
        <v>0.18150000000000002</v>
      </c>
      <c r="S14" s="1">
        <f t="shared" si="16"/>
        <v>0.19800000000000001</v>
      </c>
      <c r="T14" s="1">
        <f t="shared" si="17"/>
        <v>0.14850000000000002</v>
      </c>
      <c r="U14" s="1">
        <f t="shared" si="18"/>
        <v>0.16500000000000001</v>
      </c>
      <c r="V14" s="1">
        <f t="shared" si="19"/>
        <v>0.18150000000000002</v>
      </c>
      <c r="W14" s="1">
        <f t="shared" si="20"/>
        <v>3.3000000000000003</v>
      </c>
    </row>
    <row r="15" spans="1:23">
      <c r="A15" t="s">
        <v>15</v>
      </c>
      <c r="B15" s="1">
        <v>0.17199999999999999</v>
      </c>
      <c r="C15" s="1">
        <f t="shared" si="0"/>
        <v>0.1462</v>
      </c>
      <c r="D15" s="1">
        <f t="shared" si="1"/>
        <v>0.16339999999999999</v>
      </c>
      <c r="E15" s="1">
        <f t="shared" si="2"/>
        <v>0.18059999999999998</v>
      </c>
      <c r="F15" s="1">
        <f t="shared" si="3"/>
        <v>0.19779999999999998</v>
      </c>
      <c r="G15" s="1">
        <f t="shared" si="4"/>
        <v>0.17199999999999999</v>
      </c>
      <c r="H15" s="1">
        <f t="shared" si="5"/>
        <v>0.1376</v>
      </c>
      <c r="I15" s="1">
        <f t="shared" si="6"/>
        <v>0.15479999999999999</v>
      </c>
      <c r="J15" s="1">
        <f t="shared" si="7"/>
        <v>0.16339999999999999</v>
      </c>
      <c r="K15" s="1">
        <f t="shared" si="8"/>
        <v>0.18059999999999998</v>
      </c>
      <c r="L15" s="1">
        <f t="shared" si="9"/>
        <v>0.18920000000000001</v>
      </c>
      <c r="M15" s="1">
        <f t="shared" si="10"/>
        <v>0.20639999999999997</v>
      </c>
      <c r="N15" s="1">
        <f t="shared" si="11"/>
        <v>0.1376</v>
      </c>
      <c r="O15" s="1">
        <f t="shared" si="12"/>
        <v>0.15479999999999999</v>
      </c>
      <c r="P15" s="1">
        <f t="shared" si="13"/>
        <v>0.16339999999999999</v>
      </c>
      <c r="Q15" s="1">
        <f t="shared" si="14"/>
        <v>0.18059999999999998</v>
      </c>
      <c r="R15" s="1">
        <f t="shared" si="15"/>
        <v>0.18920000000000001</v>
      </c>
      <c r="S15" s="1">
        <f t="shared" si="16"/>
        <v>0.20639999999999997</v>
      </c>
      <c r="T15" s="1">
        <f t="shared" si="17"/>
        <v>0.15479999999999999</v>
      </c>
      <c r="U15" s="1">
        <f t="shared" si="18"/>
        <v>0.17199999999999999</v>
      </c>
      <c r="V15" s="1">
        <f t="shared" si="19"/>
        <v>0.18920000000000001</v>
      </c>
      <c r="W15" s="1">
        <f t="shared" si="20"/>
        <v>3.4399999999999995</v>
      </c>
    </row>
    <row r="16" spans="1:23">
      <c r="A16" t="s">
        <v>16</v>
      </c>
      <c r="B16" s="1">
        <v>0.188</v>
      </c>
      <c r="C16" s="1">
        <f t="shared" si="0"/>
        <v>0.1598</v>
      </c>
      <c r="D16" s="1">
        <f t="shared" si="1"/>
        <v>0.17859999999999998</v>
      </c>
      <c r="E16" s="1">
        <f t="shared" si="2"/>
        <v>0.19740000000000002</v>
      </c>
      <c r="F16" s="1">
        <f t="shared" si="3"/>
        <v>0.21619999999999998</v>
      </c>
      <c r="G16" s="1">
        <f t="shared" si="4"/>
        <v>0.188</v>
      </c>
      <c r="H16" s="1">
        <f t="shared" si="5"/>
        <v>0.15040000000000001</v>
      </c>
      <c r="I16" s="1">
        <f t="shared" si="6"/>
        <v>0.16920000000000002</v>
      </c>
      <c r="J16" s="1">
        <f t="shared" si="7"/>
        <v>0.17859999999999998</v>
      </c>
      <c r="K16" s="1">
        <f t="shared" si="8"/>
        <v>0.19740000000000002</v>
      </c>
      <c r="L16" s="1">
        <f t="shared" si="9"/>
        <v>0.20680000000000001</v>
      </c>
      <c r="M16" s="1">
        <f t="shared" si="10"/>
        <v>0.22559999999999999</v>
      </c>
      <c r="N16" s="1">
        <f t="shared" si="11"/>
        <v>0.15040000000000001</v>
      </c>
      <c r="O16" s="1">
        <f t="shared" si="12"/>
        <v>0.16920000000000002</v>
      </c>
      <c r="P16" s="1">
        <f t="shared" si="13"/>
        <v>0.17859999999999998</v>
      </c>
      <c r="Q16" s="1">
        <f t="shared" si="14"/>
        <v>0.19740000000000002</v>
      </c>
      <c r="R16" s="1">
        <f t="shared" si="15"/>
        <v>0.20680000000000001</v>
      </c>
      <c r="S16" s="1">
        <f t="shared" si="16"/>
        <v>0.22559999999999999</v>
      </c>
      <c r="T16" s="1">
        <f t="shared" si="17"/>
        <v>0.16920000000000002</v>
      </c>
      <c r="U16" s="1">
        <f t="shared" si="18"/>
        <v>0.188</v>
      </c>
      <c r="V16" s="1">
        <f t="shared" si="19"/>
        <v>0.20680000000000001</v>
      </c>
      <c r="W16" s="1">
        <f t="shared" si="20"/>
        <v>3.76</v>
      </c>
    </row>
    <row r="17" spans="1:23">
      <c r="A17" t="s">
        <v>17</v>
      </c>
      <c r="B17" s="1">
        <v>0.19800000000000001</v>
      </c>
      <c r="C17" s="1">
        <f t="shared" si="0"/>
        <v>0.16830000000000001</v>
      </c>
      <c r="D17" s="1">
        <f t="shared" si="1"/>
        <v>0.18809999999999999</v>
      </c>
      <c r="E17" s="1">
        <f t="shared" si="2"/>
        <v>0.20790000000000003</v>
      </c>
      <c r="F17" s="1">
        <f t="shared" si="3"/>
        <v>0.22769999999999999</v>
      </c>
      <c r="G17" s="1">
        <f t="shared" si="4"/>
        <v>0.19800000000000001</v>
      </c>
      <c r="H17" s="1">
        <f t="shared" si="5"/>
        <v>0.15840000000000001</v>
      </c>
      <c r="I17" s="1">
        <f t="shared" si="6"/>
        <v>0.17820000000000003</v>
      </c>
      <c r="J17" s="1">
        <f t="shared" si="7"/>
        <v>0.18809999999999999</v>
      </c>
      <c r="K17" s="1">
        <f t="shared" si="8"/>
        <v>0.20790000000000003</v>
      </c>
      <c r="L17" s="1">
        <f t="shared" si="9"/>
        <v>0.21780000000000002</v>
      </c>
      <c r="M17" s="1">
        <f t="shared" si="10"/>
        <v>0.23760000000000001</v>
      </c>
      <c r="N17" s="1">
        <f t="shared" si="11"/>
        <v>0.15840000000000001</v>
      </c>
      <c r="O17" s="1">
        <f t="shared" si="12"/>
        <v>0.17820000000000003</v>
      </c>
      <c r="P17" s="1">
        <f t="shared" si="13"/>
        <v>0.18809999999999999</v>
      </c>
      <c r="Q17" s="1">
        <f t="shared" si="14"/>
        <v>0.20790000000000003</v>
      </c>
      <c r="R17" s="1">
        <f t="shared" si="15"/>
        <v>0.21780000000000002</v>
      </c>
      <c r="S17" s="1">
        <f t="shared" si="16"/>
        <v>0.23760000000000001</v>
      </c>
      <c r="T17" s="1">
        <f t="shared" si="17"/>
        <v>0.17820000000000003</v>
      </c>
      <c r="U17" s="1">
        <f t="shared" si="18"/>
        <v>0.19800000000000001</v>
      </c>
      <c r="V17" s="1">
        <f t="shared" si="19"/>
        <v>0.21780000000000002</v>
      </c>
      <c r="W17" s="1">
        <f t="shared" si="20"/>
        <v>3.9599999999999995</v>
      </c>
    </row>
    <row r="18" spans="1:23">
      <c r="A18" t="s">
        <v>18</v>
      </c>
      <c r="B18" s="1">
        <v>0.19800000000000001</v>
      </c>
      <c r="C18" s="1">
        <f t="shared" si="0"/>
        <v>0.16830000000000001</v>
      </c>
      <c r="D18" s="1">
        <f t="shared" si="1"/>
        <v>0.18809999999999999</v>
      </c>
      <c r="E18" s="1">
        <f t="shared" si="2"/>
        <v>0.20790000000000003</v>
      </c>
      <c r="F18" s="1">
        <f t="shared" si="3"/>
        <v>0.22769999999999999</v>
      </c>
      <c r="G18" s="1">
        <f t="shared" si="4"/>
        <v>0.19800000000000001</v>
      </c>
      <c r="H18" s="1">
        <f t="shared" si="5"/>
        <v>0.15840000000000001</v>
      </c>
      <c r="I18" s="1">
        <f t="shared" si="6"/>
        <v>0.17820000000000003</v>
      </c>
      <c r="J18" s="1">
        <f t="shared" si="7"/>
        <v>0.18809999999999999</v>
      </c>
      <c r="K18" s="1">
        <f t="shared" si="8"/>
        <v>0.20790000000000003</v>
      </c>
      <c r="L18" s="1">
        <f t="shared" si="9"/>
        <v>0.21780000000000002</v>
      </c>
      <c r="M18" s="1">
        <f t="shared" si="10"/>
        <v>0.23760000000000001</v>
      </c>
      <c r="N18" s="1">
        <f t="shared" si="11"/>
        <v>0.15840000000000001</v>
      </c>
      <c r="O18" s="1">
        <f t="shared" si="12"/>
        <v>0.17820000000000003</v>
      </c>
      <c r="P18" s="1">
        <f t="shared" si="13"/>
        <v>0.18809999999999999</v>
      </c>
      <c r="Q18" s="1">
        <f t="shared" si="14"/>
        <v>0.20790000000000003</v>
      </c>
      <c r="R18" s="1">
        <f t="shared" si="15"/>
        <v>0.21780000000000002</v>
      </c>
      <c r="S18" s="1">
        <f t="shared" si="16"/>
        <v>0.23760000000000001</v>
      </c>
      <c r="T18" s="1">
        <f t="shared" si="17"/>
        <v>0.17820000000000003</v>
      </c>
      <c r="U18" s="1">
        <f t="shared" si="18"/>
        <v>0.19800000000000001</v>
      </c>
      <c r="V18" s="1">
        <f t="shared" si="19"/>
        <v>0.21780000000000002</v>
      </c>
      <c r="W18" s="1">
        <f t="shared" si="20"/>
        <v>3.9599999999999995</v>
      </c>
    </row>
    <row r="19" spans="1:23">
      <c r="A19" t="s">
        <v>19</v>
      </c>
      <c r="B19" s="1">
        <v>0.19</v>
      </c>
      <c r="C19" s="1">
        <f t="shared" si="0"/>
        <v>0.1615</v>
      </c>
      <c r="D19" s="1">
        <f t="shared" si="1"/>
        <v>0.18049999999999999</v>
      </c>
      <c r="E19" s="1">
        <f t="shared" si="2"/>
        <v>0.19950000000000001</v>
      </c>
      <c r="F19" s="1">
        <f t="shared" si="3"/>
        <v>0.21849999999999997</v>
      </c>
      <c r="G19" s="1">
        <f t="shared" si="4"/>
        <v>0.19</v>
      </c>
      <c r="H19" s="1">
        <f t="shared" si="5"/>
        <v>0.15200000000000002</v>
      </c>
      <c r="I19" s="1">
        <f t="shared" si="6"/>
        <v>0.17100000000000001</v>
      </c>
      <c r="J19" s="1">
        <f t="shared" si="7"/>
        <v>0.18049999999999999</v>
      </c>
      <c r="K19" s="1">
        <f t="shared" si="8"/>
        <v>0.19950000000000001</v>
      </c>
      <c r="L19" s="1">
        <f t="shared" si="9"/>
        <v>0.20900000000000002</v>
      </c>
      <c r="M19" s="1">
        <f t="shared" si="10"/>
        <v>0.22799999999999998</v>
      </c>
      <c r="N19" s="1">
        <f t="shared" si="11"/>
        <v>0.15200000000000002</v>
      </c>
      <c r="O19" s="1">
        <f t="shared" si="12"/>
        <v>0.17100000000000001</v>
      </c>
      <c r="P19" s="1">
        <f t="shared" si="13"/>
        <v>0.18049999999999999</v>
      </c>
      <c r="Q19" s="1">
        <f t="shared" si="14"/>
        <v>0.19950000000000001</v>
      </c>
      <c r="R19" s="1">
        <f t="shared" si="15"/>
        <v>0.20900000000000002</v>
      </c>
      <c r="S19" s="1">
        <f t="shared" si="16"/>
        <v>0.22799999999999998</v>
      </c>
      <c r="T19" s="1">
        <f t="shared" si="17"/>
        <v>0.17100000000000001</v>
      </c>
      <c r="U19" s="1">
        <f t="shared" si="18"/>
        <v>0.19</v>
      </c>
      <c r="V19" s="1">
        <f t="shared" si="19"/>
        <v>0.20900000000000002</v>
      </c>
      <c r="W19" s="1">
        <f t="shared" si="20"/>
        <v>3.7999999999999994</v>
      </c>
    </row>
    <row r="20" spans="1:23">
      <c r="A20" t="s">
        <v>20</v>
      </c>
      <c r="B20" s="1">
        <v>0.184</v>
      </c>
      <c r="C20" s="1">
        <f t="shared" si="0"/>
        <v>0.15639999999999998</v>
      </c>
      <c r="D20" s="1">
        <f t="shared" si="1"/>
        <v>0.17479999999999998</v>
      </c>
      <c r="E20" s="1">
        <f t="shared" si="2"/>
        <v>0.19320000000000001</v>
      </c>
      <c r="F20" s="1">
        <f t="shared" si="3"/>
        <v>0.21159999999999998</v>
      </c>
      <c r="G20" s="1">
        <f t="shared" si="4"/>
        <v>0.184</v>
      </c>
      <c r="H20" s="1">
        <f t="shared" si="5"/>
        <v>0.1472</v>
      </c>
      <c r="I20" s="1">
        <f t="shared" si="6"/>
        <v>0.1656</v>
      </c>
      <c r="J20" s="1">
        <f t="shared" si="7"/>
        <v>0.17479999999999998</v>
      </c>
      <c r="K20" s="1">
        <f t="shared" si="8"/>
        <v>0.19320000000000001</v>
      </c>
      <c r="L20" s="1">
        <f t="shared" si="9"/>
        <v>0.20240000000000002</v>
      </c>
      <c r="M20" s="1">
        <f t="shared" si="10"/>
        <v>0.2208</v>
      </c>
      <c r="N20" s="1">
        <f t="shared" si="11"/>
        <v>0.1472</v>
      </c>
      <c r="O20" s="1">
        <f t="shared" si="12"/>
        <v>0.1656</v>
      </c>
      <c r="P20" s="1">
        <f t="shared" si="13"/>
        <v>0.17479999999999998</v>
      </c>
      <c r="Q20" s="1">
        <f t="shared" si="14"/>
        <v>0.19320000000000001</v>
      </c>
      <c r="R20" s="1">
        <f t="shared" si="15"/>
        <v>0.20240000000000002</v>
      </c>
      <c r="S20" s="1">
        <f t="shared" si="16"/>
        <v>0.2208</v>
      </c>
      <c r="T20" s="1">
        <f t="shared" si="17"/>
        <v>0.1656</v>
      </c>
      <c r="U20" s="1">
        <f t="shared" si="18"/>
        <v>0.184</v>
      </c>
      <c r="V20" s="1">
        <f t="shared" si="19"/>
        <v>0.20240000000000002</v>
      </c>
      <c r="W20" s="1">
        <f t="shared" si="20"/>
        <v>3.6799999999999997</v>
      </c>
    </row>
    <row r="21" spans="1:23">
      <c r="A21" t="s">
        <v>21</v>
      </c>
      <c r="B21" s="1">
        <v>0.188</v>
      </c>
      <c r="C21" s="1">
        <f t="shared" si="0"/>
        <v>0.1598</v>
      </c>
      <c r="D21" s="1">
        <f t="shared" si="1"/>
        <v>0.17859999999999998</v>
      </c>
      <c r="E21" s="1">
        <f t="shared" si="2"/>
        <v>0.19740000000000002</v>
      </c>
      <c r="F21" s="1">
        <f t="shared" si="3"/>
        <v>0.21619999999999998</v>
      </c>
      <c r="G21" s="1">
        <f t="shared" si="4"/>
        <v>0.188</v>
      </c>
      <c r="H21" s="1">
        <f t="shared" si="5"/>
        <v>0.15040000000000001</v>
      </c>
      <c r="I21" s="1">
        <f t="shared" si="6"/>
        <v>0.16920000000000002</v>
      </c>
      <c r="J21" s="1">
        <f t="shared" si="7"/>
        <v>0.17859999999999998</v>
      </c>
      <c r="K21" s="1">
        <f t="shared" si="8"/>
        <v>0.19740000000000002</v>
      </c>
      <c r="L21" s="1">
        <f t="shared" si="9"/>
        <v>0.20680000000000001</v>
      </c>
      <c r="M21" s="1">
        <f t="shared" si="10"/>
        <v>0.22559999999999999</v>
      </c>
      <c r="N21" s="1">
        <f t="shared" si="11"/>
        <v>0.15040000000000001</v>
      </c>
      <c r="O21" s="1">
        <f t="shared" si="12"/>
        <v>0.16920000000000002</v>
      </c>
      <c r="P21" s="1">
        <f t="shared" si="13"/>
        <v>0.17859999999999998</v>
      </c>
      <c r="Q21" s="1">
        <f t="shared" si="14"/>
        <v>0.19740000000000002</v>
      </c>
      <c r="R21" s="1">
        <f t="shared" si="15"/>
        <v>0.20680000000000001</v>
      </c>
      <c r="S21" s="1">
        <f t="shared" si="16"/>
        <v>0.22559999999999999</v>
      </c>
      <c r="T21" s="1">
        <f t="shared" si="17"/>
        <v>0.16920000000000002</v>
      </c>
      <c r="U21" s="1">
        <f t="shared" si="18"/>
        <v>0.188</v>
      </c>
      <c r="V21" s="1">
        <f t="shared" si="19"/>
        <v>0.20680000000000001</v>
      </c>
      <c r="W21" s="1">
        <f t="shared" si="20"/>
        <v>3.76</v>
      </c>
    </row>
    <row r="22" spans="1:23">
      <c r="A22" t="s">
        <v>22</v>
      </c>
      <c r="B22" s="1">
        <v>0.20699999999999999</v>
      </c>
      <c r="C22" s="1">
        <f t="shared" si="0"/>
        <v>0.17595</v>
      </c>
      <c r="D22" s="1">
        <f t="shared" si="1"/>
        <v>0.19664999999999999</v>
      </c>
      <c r="E22" s="1">
        <f t="shared" si="2"/>
        <v>0.21734999999999999</v>
      </c>
      <c r="F22" s="1">
        <f t="shared" si="3"/>
        <v>0.23804999999999996</v>
      </c>
      <c r="G22" s="1">
        <f t="shared" si="4"/>
        <v>0.20699999999999999</v>
      </c>
      <c r="H22" s="1">
        <f t="shared" si="5"/>
        <v>0.1656</v>
      </c>
      <c r="I22" s="1">
        <f t="shared" si="6"/>
        <v>0.18629999999999999</v>
      </c>
      <c r="J22" s="1">
        <f t="shared" si="7"/>
        <v>0.19664999999999999</v>
      </c>
      <c r="K22" s="1">
        <f t="shared" si="8"/>
        <v>0.21734999999999999</v>
      </c>
      <c r="L22" s="1">
        <f t="shared" si="9"/>
        <v>0.22770000000000001</v>
      </c>
      <c r="M22" s="1">
        <f t="shared" si="10"/>
        <v>0.24839999999999998</v>
      </c>
      <c r="N22" s="1">
        <f t="shared" si="11"/>
        <v>0.1656</v>
      </c>
      <c r="O22" s="1">
        <f t="shared" si="12"/>
        <v>0.18629999999999999</v>
      </c>
      <c r="P22" s="1">
        <f t="shared" si="13"/>
        <v>0.19664999999999999</v>
      </c>
      <c r="Q22" s="1">
        <f t="shared" si="14"/>
        <v>0.21734999999999999</v>
      </c>
      <c r="R22" s="1">
        <f t="shared" si="15"/>
        <v>0.22770000000000001</v>
      </c>
      <c r="S22" s="1">
        <f t="shared" si="16"/>
        <v>0.24839999999999998</v>
      </c>
      <c r="T22" s="1">
        <f t="shared" si="17"/>
        <v>0.18629999999999999</v>
      </c>
      <c r="U22" s="1">
        <f t="shared" si="18"/>
        <v>0.20699999999999999</v>
      </c>
      <c r="V22" s="1">
        <f t="shared" si="19"/>
        <v>0.22770000000000001</v>
      </c>
      <c r="W22" s="1">
        <f t="shared" si="20"/>
        <v>4.1400000000000006</v>
      </c>
    </row>
    <row r="23" spans="1:23">
      <c r="A23" t="s">
        <v>23</v>
      </c>
      <c r="B23" s="1">
        <v>0.253</v>
      </c>
      <c r="C23" s="1">
        <f t="shared" si="0"/>
        <v>0.21504999999999999</v>
      </c>
      <c r="D23" s="1">
        <f t="shared" si="1"/>
        <v>0.24034999999999998</v>
      </c>
      <c r="E23" s="1">
        <f t="shared" si="2"/>
        <v>0.26565</v>
      </c>
      <c r="F23" s="1">
        <f t="shared" si="3"/>
        <v>0.29094999999999999</v>
      </c>
      <c r="G23" s="1">
        <f t="shared" si="4"/>
        <v>0.253</v>
      </c>
      <c r="H23" s="1">
        <f t="shared" si="5"/>
        <v>0.20240000000000002</v>
      </c>
      <c r="I23" s="1">
        <f t="shared" si="6"/>
        <v>0.22770000000000001</v>
      </c>
      <c r="J23" s="1">
        <f t="shared" si="7"/>
        <v>0.24034999999999998</v>
      </c>
      <c r="K23" s="1">
        <f t="shared" si="8"/>
        <v>0.26565</v>
      </c>
      <c r="L23" s="1">
        <f t="shared" si="9"/>
        <v>0.27830000000000005</v>
      </c>
      <c r="M23" s="1">
        <f t="shared" si="10"/>
        <v>0.30359999999999998</v>
      </c>
      <c r="N23" s="1">
        <f t="shared" si="11"/>
        <v>0.20240000000000002</v>
      </c>
      <c r="O23" s="1">
        <f t="shared" si="12"/>
        <v>0.22770000000000001</v>
      </c>
      <c r="P23" s="1">
        <f t="shared" si="13"/>
        <v>0.24034999999999998</v>
      </c>
      <c r="Q23" s="1">
        <f t="shared" si="14"/>
        <v>0.26565</v>
      </c>
      <c r="R23" s="1">
        <f t="shared" si="15"/>
        <v>0.27830000000000005</v>
      </c>
      <c r="S23" s="1">
        <f t="shared" si="16"/>
        <v>0.30359999999999998</v>
      </c>
      <c r="T23" s="1">
        <f t="shared" si="17"/>
        <v>0.22770000000000001</v>
      </c>
      <c r="U23" s="1">
        <f t="shared" si="18"/>
        <v>0.253</v>
      </c>
      <c r="V23" s="1">
        <f t="shared" si="19"/>
        <v>0.27830000000000005</v>
      </c>
      <c r="W23" s="1">
        <f t="shared" si="20"/>
        <v>5.0600000000000005</v>
      </c>
    </row>
    <row r="24" spans="1:23">
      <c r="A24" t="s">
        <v>24</v>
      </c>
      <c r="B24" s="1">
        <v>0.27200000000000002</v>
      </c>
      <c r="C24" s="1">
        <f t="shared" si="0"/>
        <v>0.23120000000000002</v>
      </c>
      <c r="D24" s="1">
        <f t="shared" si="1"/>
        <v>0.25840000000000002</v>
      </c>
      <c r="E24" s="1">
        <f t="shared" si="2"/>
        <v>0.28560000000000002</v>
      </c>
      <c r="F24" s="1">
        <f t="shared" si="3"/>
        <v>0.31280000000000002</v>
      </c>
      <c r="G24" s="1">
        <f t="shared" si="4"/>
        <v>0.27200000000000002</v>
      </c>
      <c r="H24" s="1">
        <f t="shared" si="5"/>
        <v>0.21760000000000002</v>
      </c>
      <c r="I24" s="1">
        <f t="shared" si="6"/>
        <v>0.24480000000000002</v>
      </c>
      <c r="J24" s="1">
        <f t="shared" si="7"/>
        <v>0.25840000000000002</v>
      </c>
      <c r="K24" s="1">
        <f t="shared" si="8"/>
        <v>0.28560000000000002</v>
      </c>
      <c r="L24" s="1">
        <f t="shared" si="9"/>
        <v>0.29920000000000002</v>
      </c>
      <c r="M24" s="1">
        <f t="shared" si="10"/>
        <v>0.32640000000000002</v>
      </c>
      <c r="N24" s="1">
        <f t="shared" si="11"/>
        <v>0.21760000000000002</v>
      </c>
      <c r="O24" s="1">
        <f t="shared" si="12"/>
        <v>0.24480000000000002</v>
      </c>
      <c r="P24" s="1">
        <f t="shared" si="13"/>
        <v>0.25840000000000002</v>
      </c>
      <c r="Q24" s="1">
        <f t="shared" si="14"/>
        <v>0.28560000000000002</v>
      </c>
      <c r="R24" s="1">
        <f t="shared" si="15"/>
        <v>0.29920000000000002</v>
      </c>
      <c r="S24" s="1">
        <f t="shared" si="16"/>
        <v>0.32640000000000002</v>
      </c>
      <c r="T24" s="1">
        <f t="shared" si="17"/>
        <v>0.24480000000000002</v>
      </c>
      <c r="U24" s="1">
        <f t="shared" si="18"/>
        <v>0.27200000000000002</v>
      </c>
      <c r="V24" s="1">
        <f t="shared" si="19"/>
        <v>0.29920000000000002</v>
      </c>
      <c r="W24" s="1">
        <f t="shared" si="20"/>
        <v>5.44</v>
      </c>
    </row>
    <row r="25" spans="1:23">
      <c r="A25" t="s">
        <v>25</v>
      </c>
      <c r="B25" s="1">
        <v>0.27400000000000002</v>
      </c>
      <c r="C25" s="1">
        <f t="shared" si="0"/>
        <v>0.23290000000000002</v>
      </c>
      <c r="D25" s="1">
        <f t="shared" si="1"/>
        <v>0.26030000000000003</v>
      </c>
      <c r="E25" s="1">
        <f t="shared" si="2"/>
        <v>0.28770000000000001</v>
      </c>
      <c r="F25" s="1">
        <f t="shared" si="3"/>
        <v>0.31509999999999999</v>
      </c>
      <c r="G25" s="1">
        <f t="shared" si="4"/>
        <v>0.27400000000000002</v>
      </c>
      <c r="H25" s="1">
        <f t="shared" si="5"/>
        <v>0.21920000000000003</v>
      </c>
      <c r="I25" s="1">
        <f t="shared" si="6"/>
        <v>0.24660000000000001</v>
      </c>
      <c r="J25" s="1">
        <f t="shared" si="7"/>
        <v>0.26030000000000003</v>
      </c>
      <c r="K25" s="1">
        <f t="shared" si="8"/>
        <v>0.28770000000000001</v>
      </c>
      <c r="L25" s="1">
        <f t="shared" si="9"/>
        <v>0.30140000000000006</v>
      </c>
      <c r="M25" s="1">
        <f t="shared" si="10"/>
        <v>0.32880000000000004</v>
      </c>
      <c r="N25" s="1">
        <f t="shared" si="11"/>
        <v>0.21920000000000003</v>
      </c>
      <c r="O25" s="1">
        <f t="shared" si="12"/>
        <v>0.24660000000000001</v>
      </c>
      <c r="P25" s="1">
        <f t="shared" si="13"/>
        <v>0.26030000000000003</v>
      </c>
      <c r="Q25" s="1">
        <f t="shared" si="14"/>
        <v>0.28770000000000001</v>
      </c>
      <c r="R25" s="1">
        <f t="shared" si="15"/>
        <v>0.30140000000000006</v>
      </c>
      <c r="S25" s="1">
        <f t="shared" si="16"/>
        <v>0.32880000000000004</v>
      </c>
      <c r="T25" s="1">
        <f t="shared" si="17"/>
        <v>0.24660000000000001</v>
      </c>
      <c r="U25" s="1">
        <f t="shared" si="18"/>
        <v>0.27400000000000002</v>
      </c>
      <c r="V25" s="1">
        <f t="shared" si="19"/>
        <v>0.30140000000000006</v>
      </c>
      <c r="W25" s="1">
        <f t="shared" si="20"/>
        <v>5.48</v>
      </c>
    </row>
    <row r="26" spans="1:23">
      <c r="A26" t="s">
        <v>26</v>
      </c>
      <c r="B26" s="1">
        <v>0.25</v>
      </c>
      <c r="C26" s="1">
        <f t="shared" si="0"/>
        <v>0.21249999999999999</v>
      </c>
      <c r="D26" s="1">
        <f t="shared" si="1"/>
        <v>0.23749999999999999</v>
      </c>
      <c r="E26" s="1">
        <f t="shared" si="2"/>
        <v>0.26250000000000001</v>
      </c>
      <c r="F26" s="1">
        <f t="shared" si="3"/>
        <v>0.28749999999999998</v>
      </c>
      <c r="G26" s="1">
        <f t="shared" si="4"/>
        <v>0.25</v>
      </c>
      <c r="H26" s="1">
        <f t="shared" si="5"/>
        <v>0.2</v>
      </c>
      <c r="I26" s="1">
        <f t="shared" si="6"/>
        <v>0.22500000000000001</v>
      </c>
      <c r="J26" s="1">
        <f t="shared" si="7"/>
        <v>0.23749999999999999</v>
      </c>
      <c r="K26" s="1">
        <f t="shared" si="8"/>
        <v>0.26250000000000001</v>
      </c>
      <c r="L26" s="1">
        <f t="shared" si="9"/>
        <v>0.27500000000000002</v>
      </c>
      <c r="M26" s="1">
        <f t="shared" si="10"/>
        <v>0.3</v>
      </c>
      <c r="N26" s="1">
        <f t="shared" si="11"/>
        <v>0.2</v>
      </c>
      <c r="O26" s="1">
        <f t="shared" si="12"/>
        <v>0.22500000000000001</v>
      </c>
      <c r="P26" s="1">
        <f t="shared" si="13"/>
        <v>0.23749999999999999</v>
      </c>
      <c r="Q26" s="1">
        <f t="shared" si="14"/>
        <v>0.26250000000000001</v>
      </c>
      <c r="R26" s="1">
        <f t="shared" si="15"/>
        <v>0.27500000000000002</v>
      </c>
      <c r="S26" s="1">
        <f t="shared" si="16"/>
        <v>0.3</v>
      </c>
      <c r="T26" s="1">
        <f t="shared" si="17"/>
        <v>0.22500000000000001</v>
      </c>
      <c r="U26" s="1">
        <f t="shared" si="18"/>
        <v>0.25</v>
      </c>
      <c r="V26" s="1">
        <f t="shared" si="19"/>
        <v>0.27500000000000002</v>
      </c>
      <c r="W26" s="1">
        <f t="shared" si="20"/>
        <v>5</v>
      </c>
    </row>
    <row r="27" spans="1:23">
      <c r="A27" t="s">
        <v>27</v>
      </c>
      <c r="B27" s="1">
        <v>0.20899999999999999</v>
      </c>
      <c r="C27" s="1">
        <f t="shared" si="0"/>
        <v>0.17764999999999997</v>
      </c>
      <c r="D27" s="1">
        <f t="shared" si="1"/>
        <v>0.19854999999999998</v>
      </c>
      <c r="E27" s="1">
        <f t="shared" si="2"/>
        <v>0.21945000000000001</v>
      </c>
      <c r="F27" s="1">
        <f t="shared" si="3"/>
        <v>0.24034999999999998</v>
      </c>
      <c r="G27" s="1">
        <f t="shared" si="4"/>
        <v>0.20899999999999999</v>
      </c>
      <c r="H27" s="1">
        <f t="shared" si="5"/>
        <v>0.16720000000000002</v>
      </c>
      <c r="I27" s="1">
        <f t="shared" si="6"/>
        <v>0.18809999999999999</v>
      </c>
      <c r="J27" s="1">
        <f t="shared" si="7"/>
        <v>0.19854999999999998</v>
      </c>
      <c r="K27" s="1">
        <f t="shared" si="8"/>
        <v>0.21945000000000001</v>
      </c>
      <c r="L27" s="1">
        <f t="shared" si="9"/>
        <v>0.22990000000000002</v>
      </c>
      <c r="M27" s="1">
        <f t="shared" si="10"/>
        <v>0.25079999999999997</v>
      </c>
      <c r="N27" s="1">
        <f t="shared" si="11"/>
        <v>0.16720000000000002</v>
      </c>
      <c r="O27" s="1">
        <f t="shared" si="12"/>
        <v>0.18809999999999999</v>
      </c>
      <c r="P27" s="1">
        <f t="shared" si="13"/>
        <v>0.19854999999999998</v>
      </c>
      <c r="Q27" s="1">
        <f t="shared" si="14"/>
        <v>0.21945000000000001</v>
      </c>
      <c r="R27" s="1">
        <f t="shared" si="15"/>
        <v>0.22990000000000002</v>
      </c>
      <c r="S27" s="1">
        <f t="shared" si="16"/>
        <v>0.25079999999999997</v>
      </c>
      <c r="T27" s="1">
        <f t="shared" si="17"/>
        <v>0.18809999999999999</v>
      </c>
      <c r="U27" s="1">
        <f t="shared" si="18"/>
        <v>0.20899999999999999</v>
      </c>
      <c r="V27" s="1">
        <f t="shared" si="19"/>
        <v>0.22990000000000002</v>
      </c>
      <c r="W27" s="1">
        <f t="shared" si="20"/>
        <v>4.18</v>
      </c>
    </row>
    <row r="28" spans="1:2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>
      <c r="A29" s="6" t="s">
        <v>28</v>
      </c>
      <c r="B29" s="7">
        <f t="shared" ref="B29:W29" si="21">SUM(B4:B27)</f>
        <v>4.3639999999999999</v>
      </c>
      <c r="C29" s="7">
        <f t="shared" si="21"/>
        <v>3.7093999999999996</v>
      </c>
      <c r="D29" s="7">
        <f t="shared" si="21"/>
        <v>4.1457999999999986</v>
      </c>
      <c r="E29" s="7">
        <f t="shared" si="21"/>
        <v>4.5822000000000003</v>
      </c>
      <c r="F29" s="7">
        <f t="shared" si="21"/>
        <v>5.0186000000000002</v>
      </c>
      <c r="G29" s="7">
        <f t="shared" si="21"/>
        <v>4.3639999999999999</v>
      </c>
      <c r="H29" s="7">
        <f t="shared" si="21"/>
        <v>3.4912000000000001</v>
      </c>
      <c r="I29" s="7">
        <f t="shared" si="21"/>
        <v>3.9276000000000004</v>
      </c>
      <c r="J29" s="7">
        <f t="shared" si="21"/>
        <v>4.1457999999999986</v>
      </c>
      <c r="K29" s="7">
        <f t="shared" si="21"/>
        <v>4.5822000000000003</v>
      </c>
      <c r="L29" s="7">
        <f t="shared" si="21"/>
        <v>4.8003999999999998</v>
      </c>
      <c r="M29" s="7">
        <f t="shared" si="21"/>
        <v>5.2368000000000006</v>
      </c>
      <c r="N29" s="7">
        <f t="shared" si="21"/>
        <v>3.4912000000000001</v>
      </c>
      <c r="O29" s="7">
        <f t="shared" si="21"/>
        <v>3.9276000000000004</v>
      </c>
      <c r="P29" s="7">
        <f t="shared" si="21"/>
        <v>4.1457999999999986</v>
      </c>
      <c r="Q29" s="7">
        <f t="shared" si="21"/>
        <v>4.5822000000000003</v>
      </c>
      <c r="R29" s="7">
        <f t="shared" si="21"/>
        <v>4.8003999999999998</v>
      </c>
      <c r="S29" s="7">
        <f t="shared" si="21"/>
        <v>5.2368000000000006</v>
      </c>
      <c r="T29" s="7">
        <f t="shared" si="21"/>
        <v>3.9276000000000004</v>
      </c>
      <c r="U29" s="7">
        <f t="shared" si="21"/>
        <v>4.3639999999999999</v>
      </c>
      <c r="V29" s="7">
        <f t="shared" si="21"/>
        <v>4.8003999999999998</v>
      </c>
      <c r="W29" s="7">
        <f t="shared" si="21"/>
        <v>87.28</v>
      </c>
    </row>
  </sheetData>
  <mergeCells count="1">
    <mergeCell ref="A1:W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"/>
  <sheetViews>
    <sheetView zoomScale="97" workbookViewId="0">
      <selection activeCell="C13" sqref="C13"/>
    </sheetView>
  </sheetViews>
  <sheetFormatPr defaultRowHeight="14.5"/>
  <cols>
    <col min="1" max="1" width="32" customWidth="1"/>
    <col min="2" max="3" width="22" customWidth="1"/>
    <col min="4" max="4" width="12" customWidth="1"/>
  </cols>
  <sheetData>
    <row r="1" spans="1:4" ht="18.5">
      <c r="A1" s="10" t="s">
        <v>72</v>
      </c>
      <c r="B1" s="10"/>
      <c r="C1" s="10"/>
      <c r="D1" s="10"/>
    </row>
    <row r="3" spans="1:4">
      <c r="A3" s="5" t="s">
        <v>73</v>
      </c>
      <c r="B3" s="5" t="s">
        <v>74</v>
      </c>
      <c r="C3" s="5" t="s">
        <v>75</v>
      </c>
      <c r="D3" s="5" t="s">
        <v>35</v>
      </c>
    </row>
    <row r="4" spans="1:4">
      <c r="A4" t="s">
        <v>76</v>
      </c>
      <c r="B4">
        <v>10</v>
      </c>
      <c r="C4">
        <v>20</v>
      </c>
      <c r="D4" t="s">
        <v>40</v>
      </c>
    </row>
    <row r="5" spans="1:4">
      <c r="A5" t="s">
        <v>77</v>
      </c>
      <c r="B5">
        <v>4</v>
      </c>
      <c r="C5">
        <v>5</v>
      </c>
      <c r="D5" t="s">
        <v>40</v>
      </c>
    </row>
    <row r="6" spans="1:4">
      <c r="A6" t="s">
        <v>78</v>
      </c>
      <c r="B6">
        <v>6</v>
      </c>
      <c r="C6">
        <v>15</v>
      </c>
      <c r="D6" t="s">
        <v>40</v>
      </c>
    </row>
    <row r="7" spans="1:4">
      <c r="A7" t="s">
        <v>79</v>
      </c>
      <c r="B7" s="1">
        <f>Produzione_FV!C29</f>
        <v>211.37720000000002</v>
      </c>
      <c r="C7" s="1">
        <f>Produzione_FV!D29</f>
        <v>264.22149999999999</v>
      </c>
      <c r="D7" t="s">
        <v>36</v>
      </c>
    </row>
    <row r="8" spans="1:4">
      <c r="A8" t="s">
        <v>80</v>
      </c>
      <c r="B8" s="1">
        <f>Domanda_base!M29</f>
        <v>43.64</v>
      </c>
      <c r="C8" s="1">
        <f>Domanda_5P15C!W29</f>
        <v>87.28</v>
      </c>
      <c r="D8" t="s">
        <v>36</v>
      </c>
    </row>
    <row r="9" spans="1:4">
      <c r="A9" t="s">
        <v>81</v>
      </c>
      <c r="B9" s="1">
        <v>9.5</v>
      </c>
      <c r="C9" s="1">
        <v>9.5</v>
      </c>
      <c r="D9" t="s">
        <v>36</v>
      </c>
    </row>
    <row r="10" spans="1:4">
      <c r="A10" t="s">
        <v>39</v>
      </c>
      <c r="B10" s="1">
        <v>4.75</v>
      </c>
      <c r="C10" s="1">
        <v>4.75</v>
      </c>
      <c r="D10" t="s">
        <v>36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Produzione_FV</vt:lpstr>
      <vt:lpstr>Prezzi_GME</vt:lpstr>
      <vt:lpstr>Parametri_BESS</vt:lpstr>
      <vt:lpstr>Domanda_ARERA</vt:lpstr>
      <vt:lpstr>Fattori_ku</vt:lpstr>
      <vt:lpstr>Domanda_base</vt:lpstr>
      <vt:lpstr>Domanda_5P15C</vt:lpstr>
      <vt:lpstr>Riepilogo_scenari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Elisa Messeri</cp:lastModifiedBy>
  <dcterms:created xsi:type="dcterms:W3CDTF">2026-09-14T19:27:31Z</dcterms:created>
  <dcterms:modified xsi:type="dcterms:W3CDTF">2026-09-14T19:27:31Z</dcterms:modified>
</cp:coreProperties>
</file>